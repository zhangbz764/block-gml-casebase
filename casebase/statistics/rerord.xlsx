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0417"/>
  <workbookPr defaultThemeVersion="166925"/>
  <mc:AlternateContent xmlns:mc="http://schemas.openxmlformats.org/markup-compatibility/2006">
    <mc:Choice Requires="x15">
      <x15ac:absPath xmlns:x15ac="http://schemas.microsoft.com/office/spreadsheetml/2010/11/ac" url="E:\0_code\block-gml-casebase\casebase\statistics\"/>
    </mc:Choice>
  </mc:AlternateContent>
  <xr:revisionPtr revIDLastSave="0" documentId="13_ncr:1_{702EDA43-9577-4C5E-B3CD-C9CAA3382243}" xr6:coauthVersionLast="36" xr6:coauthVersionMax="36" xr10:uidLastSave="{00000000-0000-0000-0000-000000000000}"/>
  <bookViews>
    <workbookView xWindow="-108" yWindow="-108" windowWidth="25824" windowHeight="15504" xr2:uid="{00000000-000D-0000-FFFF-FFFF00000000}"/>
  </bookViews>
  <sheets>
    <sheet name="Block" sheetId="1" r:id="rId1"/>
    <sheet name="LoD1" sheetId="2" r:id="rId2"/>
    <sheet name="LoD2" sheetId="3" r:id="rId3"/>
  </sheets>
  <calcPr calcId="191029"/>
</workbook>
</file>

<file path=xl/calcChain.xml><?xml version="1.0" encoding="utf-8"?>
<calcChain xmlns="http://schemas.openxmlformats.org/spreadsheetml/2006/main">
  <c r="S2" i="3" l="1"/>
  <c r="R2" i="3"/>
  <c r="Q2" i="3"/>
  <c r="P2" i="3"/>
  <c r="O2" i="3"/>
  <c r="S2" i="2"/>
  <c r="R2" i="2"/>
  <c r="Q2" i="2"/>
  <c r="P2" i="2"/>
  <c r="O2" i="2"/>
  <c r="N2" i="1"/>
  <c r="M2" i="1"/>
</calcChain>
</file>

<file path=xl/sharedStrings.xml><?xml version="1.0" encoding="utf-8"?>
<sst xmlns="http://schemas.openxmlformats.org/spreadsheetml/2006/main" count="341" uniqueCount="178">
  <si>
    <t>city</t>
  </si>
  <si>
    <t>continent</t>
  </si>
  <si>
    <t>country</t>
  </si>
  <si>
    <t>data (update) time</t>
  </si>
  <si>
    <t>download time</t>
  </si>
  <si>
    <t>行政区域面积k㎡，只反应osm数据</t>
  </si>
  <si>
    <t>初始切片数量（仅排除&lt;1000）</t>
  </si>
  <si>
    <t>包含lod1的block</t>
  </si>
  <si>
    <t>包含lod2的block</t>
  </si>
  <si>
    <t>简称</t>
  </si>
  <si>
    <t>lod1指标筛除后valid</t>
  </si>
  <si>
    <t>lod2指标筛除后valid</t>
  </si>
  <si>
    <t>总lod1 block</t>
  </si>
  <si>
    <t>总lod2 block</t>
  </si>
  <si>
    <t>Hamburg</t>
  </si>
  <si>
    <t>Europe</t>
  </si>
  <si>
    <t>Germany</t>
  </si>
  <si>
    <t>980.23（包含港口海面）</t>
  </si>
  <si>
    <t>DE_HH</t>
  </si>
  <si>
    <t>Vienna</t>
  </si>
  <si>
    <t>Austria</t>
  </si>
  <si>
    <t>AT_VI</t>
  </si>
  <si>
    <t>Amsterdam</t>
  </si>
  <si>
    <t>Netherlands</t>
  </si>
  <si>
    <t>NL_AM</t>
  </si>
  <si>
    <t>Montreal</t>
  </si>
  <si>
    <t>North America</t>
  </si>
  <si>
    <t>Canada</t>
  </si>
  <si>
    <t>CA_MT</t>
  </si>
  <si>
    <t>Zurich</t>
  </si>
  <si>
    <t>Switzerland</t>
  </si>
  <si>
    <t>CH_ZU</t>
  </si>
  <si>
    <t>Luxembourg</t>
  </si>
  <si>
    <t>LU_LU</t>
  </si>
  <si>
    <t>Hannover</t>
  </si>
  <si>
    <t>DE_HA</t>
  </si>
  <si>
    <t>Linz</t>
  </si>
  <si>
    <t>AT_LZ</t>
  </si>
  <si>
    <t>Namur</t>
  </si>
  <si>
    <t>Belgium</t>
  </si>
  <si>
    <t>BE_NA</t>
  </si>
  <si>
    <t>Prague</t>
  </si>
  <si>
    <t>Czech </t>
  </si>
  <si>
    <t>CZ_PR</t>
  </si>
  <si>
    <t>Dresden</t>
  </si>
  <si>
    <t>DE_DD</t>
  </si>
  <si>
    <t>New York</t>
  </si>
  <si>
    <t>USA</t>
  </si>
  <si>
    <t>US_NY</t>
  </si>
  <si>
    <t>Rotterdam </t>
  </si>
  <si>
    <t>NL_RO</t>
  </si>
  <si>
    <t>Berlin</t>
  </si>
  <si>
    <t>DE_BE</t>
  </si>
  <si>
    <t>San Francisco</t>
  </si>
  <si>
    <t>US_SF</t>
  </si>
  <si>
    <t>Chicago</t>
  </si>
  <si>
    <t>US_CH</t>
  </si>
  <si>
    <t>Boston</t>
  </si>
  <si>
    <t>US_BO</t>
  </si>
  <si>
    <t>Washington D.C.</t>
  </si>
  <si>
    <t>US_WA</t>
  </si>
  <si>
    <t>Portland</t>
  </si>
  <si>
    <t>US_PO</t>
  </si>
  <si>
    <t>Tokyo</t>
  </si>
  <si>
    <t>Asia</t>
  </si>
  <si>
    <t>Japan</t>
  </si>
  <si>
    <t>42548.04（好多岛）</t>
  </si>
  <si>
    <t>JP_TK</t>
  </si>
  <si>
    <t>Sapporo</t>
  </si>
  <si>
    <t>JP_SP</t>
  </si>
  <si>
    <t>Osaka</t>
  </si>
  <si>
    <t>JP_OS</t>
  </si>
  <si>
    <t>Kanazawa</t>
  </si>
  <si>
    <t>JP_KA</t>
  </si>
  <si>
    <t>Tallinn</t>
  </si>
  <si>
    <t>Estonia</t>
  </si>
  <si>
    <t>EE_TL</t>
  </si>
  <si>
    <t>Toronto</t>
  </si>
  <si>
    <t>CA_TO</t>
  </si>
  <si>
    <t>Winnipeg</t>
  </si>
  <si>
    <t>CA_WP</t>
  </si>
  <si>
    <t>Munich</t>
  </si>
  <si>
    <t>DE_MU</t>
  </si>
  <si>
    <t>Nuremberg</t>
  </si>
  <si>
    <t>DE_NU</t>
  </si>
  <si>
    <t>Beijing</t>
  </si>
  <si>
    <t>China</t>
  </si>
  <si>
    <t>CN_BJ</t>
  </si>
  <si>
    <t>Bern</t>
  </si>
  <si>
    <t>CH_BE</t>
  </si>
  <si>
    <t>Bologna</t>
  </si>
  <si>
    <t>Italy</t>
  </si>
  <si>
    <t>IT_BO</t>
  </si>
  <si>
    <t>Lyon</t>
  </si>
  <si>
    <t>France</t>
  </si>
  <si>
    <t>FR_LY</t>
  </si>
  <si>
    <t>Paris</t>
  </si>
  <si>
    <t>FR_PA</t>
  </si>
  <si>
    <t>Marseille</t>
  </si>
  <si>
    <t>FR_MA</t>
  </si>
  <si>
    <t>name</t>
  </si>
  <si>
    <t>building data source url</t>
  </si>
  <si>
    <t>lod level</t>
  </si>
  <si>
    <t>data time</t>
  </si>
  <si>
    <t>format</t>
  </si>
  <si>
    <t>building count</t>
  </si>
  <si>
    <t>surface count（自建）</t>
  </si>
  <si>
    <t>original SRID</t>
  </si>
  <si>
    <t>匹配到的数量</t>
  </si>
  <si>
    <t>原始数据大小（GB）</t>
  </si>
  <si>
    <t>备注</t>
  </si>
  <si>
    <t>城市数量</t>
  </si>
  <si>
    <t>总building</t>
  </si>
  <si>
    <t>总surface</t>
  </si>
  <si>
    <t>总有效building</t>
  </si>
  <si>
    <t>总大小（GB）</t>
  </si>
  <si>
    <t>https://suche.transparenz.hamburg.de/dataset/3d-gebaeudemodell-lod1-de-hamburg2</t>
  </si>
  <si>
    <t>.xml</t>
  </si>
  <si>
    <t>https://3dbag.nl/en/</t>
  </si>
  <si>
    <t>1.2，1.3</t>
  </si>
  <si>
    <t>.json</t>
  </si>
  <si>
    <t>7145 (28992)</t>
  </si>
  <si>
    <t>数据质量不如lod2</t>
  </si>
  <si>
    <t>https://opendata.dresden.de/informationsportal/#app/mainpage//3D%20Stadtmodell//</t>
  </si>
  <si>
    <t>gml</t>
  </si>
  <si>
    <t>https://gdi.berlin.de/geonetwork/srv/ger/catalog.search#/metadata/e2a1e24e-bd9a-3de4-86af-af1a7a21a29e</t>
  </si>
  <si>
    <t>json</t>
  </si>
  <si>
    <t>https://data.public.lu/fr/datasets/batiments-3d-2013-lod-1-level-of-detail-1/</t>
  </si>
  <si>
    <t>比lod2少不少，存在多栋建筑union一起的情况</t>
  </si>
  <si>
    <t>https://htmlpreview.github.io/?https://github.com/opencitymodel/opencitymodel/blob/master/releases/2019-jun/California.html</t>
  </si>
  <si>
    <t>美国的数据无高程，ground_z是相对高度0</t>
  </si>
  <si>
    <t>https://htmlpreview.github.io/?https://github.com/opencitymodel/opencitymodel/blob/master/releases/2019-jun/Illinois.html</t>
  </si>
  <si>
    <t>https://htmlpreview.github.io/?https://github.com/opencitymodel/opencitymodel/blob/master/releases/2019-jun/Massachusetts.html</t>
  </si>
  <si>
    <t>http://htmlpreview.github.io/?https://github.com/opencitymodel/opencitymodel/blob/master/releases/2019-jun/DistrictofColumbia.html</t>
  </si>
  <si>
    <t>http://htmlpreview.github.io/?https://github.com/opencitymodel/opencitymodel/blob/master/releases/2019-jun/NewYork.html</t>
  </si>
  <si>
    <t>曼哈顿</t>
  </si>
  <si>
    <t>http://htmlpreview.github.io/?https://github.com/opencitymodel/opencitymodel/blob/master/releases/2019-jun/Oregon.html</t>
  </si>
  <si>
    <t>https://front.geospatial.jp/plateau_portal_site/#</t>
  </si>
  <si>
    <t>日本数据直接处理gml</t>
  </si>
  <si>
    <t>Sapporo </t>
  </si>
  <si>
    <t>https://www.geospatial.jp/ckan/dataset/plateau-01100-sapporo-shi-2020</t>
  </si>
  <si>
    <t>https://www.geospatial.jp/ckan/dataset/plateau-27100-osaka-shi-2025</t>
  </si>
  <si>
    <t>https://www.geospatial.jp/ckan/dataset/plateau-17201-kanazawa-shi-2024</t>
  </si>
  <si>
    <t>https://open.toronto.ca/dataset/3d-massing/</t>
  </si>
  <si>
    <t>shp</t>
  </si>
  <si>
    <t>https://www.wien.gv.at/ma41datenviewer/public/</t>
  </si>
  <si>
    <t>https://festudio.ca/research/buildings</t>
  </si>
  <si>
    <t>https://github.com/AICyberTeam/GABLE</t>
  </si>
  <si>
    <t>顶点过多，需要simplify，效果不好，失去形状</t>
  </si>
  <si>
    <t>https://www.stadt-zuerich.ch/geodaten/download/Bauten___Blockmodell?format=10007</t>
  </si>
  <si>
    <t>https://opendata.comune.bologna.it/explore/dataset/c_a944ctc_edifici_pl/export/?disjunctive.descrizion&amp;disjunctive.origine&amp;sort=-codice_ogg</t>
  </si>
  <si>
    <t>geojson</t>
  </si>
  <si>
    <t>https://www.data.gouv.fr/datasets/base-de-donnees-nationale-des-batiments</t>
  </si>
  <si>
    <t>parquet</t>
  </si>
  <si>
    <t>需要单独分离bbox</t>
  </si>
  <si>
    <t>需要单独分离</t>
  </si>
  <si>
    <t>surface count</t>
  </si>
  <si>
    <t>https://suche.transparenz.hamburg.de/dataset/3d-gebaeudemodell-lod2-de-hamburg2</t>
  </si>
  <si>
    <t>xml</t>
  </si>
  <si>
    <t>https://donnees.montreal.ca/en/dataset/maquette-numerique-plateau-mont-royal-batiments-lod2-avec-textures?</t>
  </si>
  <si>
    <t>仅有部分区域</t>
  </si>
  <si>
    <t>https://www.swisstopo.admin.ch/de/landschaftmodell-swissbuildings3d-3-0-beta#swissBUILDINGS3D-3.0-Beta---Download</t>
  </si>
  <si>
    <t>https://data.public.lu/en/datasets/base-de-donnees-nationale-des-batiments-3d-2023/#</t>
  </si>
  <si>
    <t>https://www.hannover.de/Leben-in-der-Region-Hannover/Verwaltungen-Kommunen/Die-Verwaltung-der-Landeshauptstadt-Hannover/Dezernate-und-Fachbereiche-der-LHH/Stadtentwicklung-und-Bauen/Fachbereich-Planen-und-Stadtentwicklung/Geoinformation/Open-GeoData/3D-Stadtmodell-und-Gel%C3%A4ndemodell/Digitales-3D-Stadtmodell</t>
  </si>
  <si>
    <t>https://geo.data.linz.gv.at/katalog/geodata/3d_geo_daten_lod2/</t>
  </si>
  <si>
    <t>https://data.namur.be/explore/dataset/namur-3d-batiments-textures-par-dalle-de-200m/table/?dataChart=eyJxdWVyaWVzIjpbeyJjb25maWciOnsiZGF0YXNldCI6Im5hbXVyLTNkLWJhdGltZW50cy10ZXh0dXJlcy1wYXItZGFsbGUtZGUtMjAwbSIsIm9wdGlvbnMiOnt9fSwiY2hhcnRzIjpbeyJhbGlnbk1vbnRoIjp0cnVlLCJ0eXBlIjoiY29sdW1uIiwiZnVuYyI6IkNPVU5UIiwic2NpZW50aWZpY0Rpc3BsYXkiOnRydWUsImNvbG9yIjoiIzAxMUY0OSJ9XSwieEF4aXMiOiJub20iLCJtYXhwb2ludHMiOjUwLCJzb3J0IjoiIn1dLCJ0aW1lc2NhbGUiOiIiLCJkaXNwbGF5TGVnZW5kIjp0cnVlLCJhbGlnbk1vbnRoIjp0cnVlfQ%3D%3D&amp;location=13,50.43269,4.86943&amp;basemap=jawg.streets</t>
  </si>
  <si>
    <t>通过法向量判断surface语义有bug</t>
  </si>
  <si>
    <t>https://geoportalpraha.cz/en/data-and-services/7e6316e95cfe4f36ae06bbfb687bf34b</t>
  </si>
  <si>
    <t>https://gdi.berlin.de/geonetwork/srv/ger/catalog.search#/metadata/3c7c49af-00a4-3bcd-bc00-20e7f0f1b7bf</t>
  </si>
  <si>
    <t>有ClosureSurface语义，但忽略</t>
  </si>
  <si>
    <t>https://maps.nyc.gov/download/3dmodel/</t>
  </si>
  <si>
    <t>单位是英尺，需要0.3048；分体块但是坡屋顶好像缺少</t>
  </si>
  <si>
    <t>https://geoportaal.maaamet.ee/eng/Download-3D-data-p837.html</t>
  </si>
  <si>
    <t>通过法向量判断surface语义有小bug，数据质量较差</t>
  </si>
  <si>
    <t>https://geodaten.bayern.de/opengeodata/OpenDataDetail.html?pn=lod2</t>
  </si>
  <si>
    <t>2021、2023</t>
  </si>
  <si>
    <t>https://data.grandlyon.com/portail/fr/jeux-de-donnees/maquettes-3d-texturees-2018-communes-metropole-lyon/donnees</t>
  </si>
  <si>
    <t xml:space="preserve"> 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</si>
</sst>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0" x14ac:knownFonts="1">
    <font>
      <sz val="11"/>
      <color theme="1"/>
      <name val="等线"/>
      <family val="2"/>
      <charset val="134"/>
      <scheme val="minor"/>
    </font>
    <font>
      <sz val="9"/>
      <name val="等线"/>
      <family val="2"/>
      <charset val="134"/>
      <scheme val="minor"/>
    </font>
    <font>
      <sz val="11"/>
      <color theme="1"/>
      <name val="等线"/>
      <family val="2"/>
      <charset val="134"/>
      <scheme val="minor"/>
    </font>
    <font>
      <u/>
      <sz val="11"/>
      <color theme="10"/>
      <name val="等线"/>
      <family val="2"/>
      <charset val="134"/>
      <scheme val="minor"/>
    </font>
    <font>
      <b/>
      <sz val="11"/>
      <color theme="1"/>
      <name val="等线"/>
      <family val="3"/>
      <charset val="134"/>
      <scheme val="minor"/>
    </font>
    <font>
      <b/>
      <sz val="11"/>
      <color rgb="FFFA7D00"/>
      <name val="等线"/>
      <family val="2"/>
      <charset val="134"/>
      <scheme val="minor"/>
    </font>
    <font>
      <sz val="11"/>
      <color rgb="FFFF0000"/>
      <name val="等线"/>
      <family val="2"/>
      <charset val="134"/>
      <scheme val="minor"/>
    </font>
    <font>
      <sz val="11"/>
      <color rgb="FFFF0000"/>
      <name val="等线"/>
      <family val="3"/>
      <charset val="134"/>
      <scheme val="minor"/>
    </font>
    <font>
      <sz val="11"/>
      <name val="等线"/>
      <family val="3"/>
      <charset val="134"/>
      <scheme val="minor"/>
    </font>
    <font>
      <sz val="11"/>
      <color theme="4"/>
      <name val="等线"/>
      <family val="2"/>
      <charset val="134"/>
      <scheme val="minor"/>
    </font>
  </fonts>
  <fills count="4">
    <fill>
      <patternFill patternType="none"/>
    </fill>
    <fill>
      <patternFill patternType="gray125"/>
    </fill>
    <fill>
      <patternFill patternType="solid">
        <fgColor theme="6" tint="0.59999389629810485"/>
        <bgColor indexed="65"/>
      </patternFill>
    </fill>
    <fill>
      <patternFill patternType="solid">
        <fgColor rgb="FFF2F2F2"/>
      </patternFill>
    </fill>
  </fills>
  <borders count="2">
    <border>
      <left/>
      <right/>
      <top/>
      <bottom/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</borders>
  <cellStyleXfs count="4">
    <xf numFmtId="0" fontId="0" fillId="0" borderId="0">
      <alignment vertical="center"/>
    </xf>
    <xf numFmtId="0" fontId="2" fillId="2" borderId="0">
      <alignment vertical="center"/>
    </xf>
    <xf numFmtId="0" fontId="3" fillId="0" borderId="0">
      <alignment vertical="center"/>
    </xf>
    <xf numFmtId="0" fontId="5" fillId="3" borderId="1">
      <alignment vertical="center"/>
    </xf>
  </cellStyleXfs>
  <cellXfs count="15">
    <xf numFmtId="0" fontId="0" fillId="0" borderId="0" xfId="0" applyAlignment="1">
      <alignment vertical="center"/>
    </xf>
    <xf numFmtId="0" fontId="0" fillId="0" borderId="0" xfId="0" applyAlignment="1">
      <alignment horizontal="left" vertical="center"/>
    </xf>
    <xf numFmtId="0" fontId="4" fillId="2" borderId="0" xfId="1" applyFont="1" applyAlignment="1">
      <alignment horizontal="left" vertical="center" wrapText="1"/>
    </xf>
    <xf numFmtId="0" fontId="0" fillId="0" borderId="0" xfId="0" applyAlignment="1">
      <alignment horizontal="left" vertical="center" wrapText="1"/>
    </xf>
    <xf numFmtId="0" fontId="8" fillId="0" borderId="0" xfId="0" applyFont="1" applyAlignment="1">
      <alignment horizontal="left" vertical="center"/>
    </xf>
    <xf numFmtId="0" fontId="6" fillId="0" borderId="0" xfId="0" applyFont="1" applyAlignment="1">
      <alignment horizontal="left" vertical="center"/>
    </xf>
    <xf numFmtId="0" fontId="7" fillId="0" borderId="0" xfId="0" applyFont="1" applyAlignment="1">
      <alignment horizontal="left" vertical="center" wrapText="1"/>
    </xf>
    <xf numFmtId="0" fontId="3" fillId="0" borderId="0" xfId="2" applyAlignment="1">
      <alignment horizontal="left" vertical="center" wrapText="1"/>
    </xf>
    <xf numFmtId="0" fontId="6" fillId="0" borderId="0" xfId="0" applyFont="1" applyAlignment="1">
      <alignment horizontal="left" vertical="center" wrapText="1"/>
    </xf>
    <xf numFmtId="0" fontId="7" fillId="0" borderId="0" xfId="0" applyFont="1" applyAlignment="1">
      <alignment horizontal="left" vertical="center"/>
    </xf>
    <xf numFmtId="0" fontId="9" fillId="0" borderId="0" xfId="0" applyFont="1" applyAlignment="1">
      <alignment horizontal="left" vertical="center"/>
    </xf>
    <xf numFmtId="0" fontId="9" fillId="0" borderId="0" xfId="0" applyFont="1" applyAlignment="1">
      <alignment horizontal="left" vertical="center" wrapText="1"/>
    </xf>
    <xf numFmtId="0" fontId="5" fillId="3" borderId="1" xfId="3" applyAlignment="1">
      <alignment horizontal="left" vertical="center" wrapText="1"/>
    </xf>
    <xf numFmtId="0" fontId="7" fillId="0" borderId="0" xfId="0" applyFont="1" applyAlignment="1">
      <alignment vertical="center"/>
    </xf>
    <xf numFmtId="0" fontId="8" fillId="0" borderId="0" xfId="0" applyFont="1" applyAlignment="1">
      <alignment horizontal="left" vertical="center" wrapText="1"/>
    </xf>
  </cellXfs>
  <cellStyles count="4">
    <cellStyle name="40% - 着色 3" xfId="1" builtinId="39"/>
    <cellStyle name="常规" xfId="0" builtinId="0"/>
    <cellStyle name="超链接" xfId="2" builtinId="8"/>
    <cellStyle name="计算" xfId="3" builtinId="22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2.xml.rels><?xml version="1.0" encoding="UTF-8" standalone="yes"?>
<Relationships xmlns="http://schemas.openxmlformats.org/package/2006/relationships"><Relationship Id="rId3" Type="http://schemas.openxmlformats.org/officeDocument/2006/relationships/hyperlink" Target="https://opendata.comune.bologna.it/explore/dataset/c_a944ctc_edifici_pl/export/?disjunctive.descrizion&amp;disjunctive.origine&amp;sort=-codice_ogg" TargetMode="External"/><Relationship Id="rId2" Type="http://schemas.openxmlformats.org/officeDocument/2006/relationships/hyperlink" Target="https://www.stadt-zuerich.ch/geodaten/download/Bauten___Blockmodell?format=10007" TargetMode="External"/><Relationship Id="rId1" Type="http://schemas.openxmlformats.org/officeDocument/2006/relationships/hyperlink" Target="https://htmlpreview.github.io/?https://github.com/opencitymodel/opencitymodel/blob/master/releases/2019-jun/Illinois.html" TargetMode="External"/></Relationships>
</file>

<file path=xl/worksheets/_rels/sheet3.xml.rels><?xml version="1.0" encoding="UTF-8" standalone="yes"?>
<Relationships xmlns="http://schemas.openxmlformats.org/package/2006/relationships"><Relationship Id="rId8" Type="http://schemas.openxmlformats.org/officeDocument/2006/relationships/hyperlink" Target="https://geoportaal.maaamet.ee/eng/Download-3D-data-p837.html" TargetMode="External"/><Relationship Id="rId3" Type="http://schemas.openxmlformats.org/officeDocument/2006/relationships/hyperlink" Target="https://data.public.lu/en/datasets/base-de-donnees-nationale-des-batiments-3d-2023/" TargetMode="External"/><Relationship Id="rId7" Type="http://schemas.openxmlformats.org/officeDocument/2006/relationships/hyperlink" Target="https://gdi.berlin.de/geonetwork/srv/ger/catalog.search" TargetMode="External"/><Relationship Id="rId2" Type="http://schemas.openxmlformats.org/officeDocument/2006/relationships/hyperlink" Target="https://www.swisstopo.admin.ch/de/landschaftmodell-swissbuildings3d-3-0-beta" TargetMode="External"/><Relationship Id="rId1" Type="http://schemas.openxmlformats.org/officeDocument/2006/relationships/hyperlink" Target="https://www.wien.gv.at/ma41datenviewer/public/" TargetMode="External"/><Relationship Id="rId6" Type="http://schemas.openxmlformats.org/officeDocument/2006/relationships/hyperlink" Target="https://geoportalpraha.cz/en/data-and-services/7e6316e95cfe4f36ae06bbfb687bf34b" TargetMode="External"/><Relationship Id="rId5" Type="http://schemas.openxmlformats.org/officeDocument/2006/relationships/hyperlink" Target="https://data.namur.be/explore/dataset/namur-3d-batiments-textures-par-dalle-de-200m/table/?dataChart=eyJxdWVyaWVzIjpbeyJjb25maWciOnsiZGF0YXNldCI6Im5hbXVyLTNkLWJhdGltZW50cy10ZXh0dXJlcy1wYXItZGFsbGUtZGUtMjAwbSIsIm9wdGlvbnMiOnt9fSwiY2hhcnRzIjpbeyJhbGlnbk1vbnRoIjp0cnVlLCJ0eXBlIjoiY29sdW1uIiwiZnVuYyI6IkNPVU5UIiwic2NpZW50aWZpY0Rpc3BsYXkiOnRydWUsImNvbG9yIjoiIzAxMUY0OSJ9XSwieEF4aXMiOiJub20iLCJtYXhwb2ludHMiOjUwLCJzb3J0IjoiIn1dLCJ0aW1lc2NhbGUiOiIiLCJkaXNwbGF5TGVnZW5kIjp0cnVlLCJhbGlnbk1vbnRoIjp0cnVlfQ%3D%3D&amp;location=13,50.43269,4.86943&amp;basemap=jawg.streets" TargetMode="External"/><Relationship Id="rId4" Type="http://schemas.openxmlformats.org/officeDocument/2006/relationships/hyperlink" Target="https://geo.data.linz.gv.at/katalog/geodata/3d_geo_daten_lod2/" TargetMode="External"/><Relationship Id="rId9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N35"/>
  <sheetViews>
    <sheetView tabSelected="1" workbookViewId="0">
      <selection activeCell="N16" sqref="N16"/>
    </sheetView>
  </sheetViews>
  <sheetFormatPr defaultColWidth="9" defaultRowHeight="13.8" x14ac:dyDescent="0.25"/>
  <cols>
    <col min="1" max="1" width="17" style="1" customWidth="1"/>
    <col min="2" max="2" width="14.6640625" style="1" customWidth="1"/>
    <col min="3" max="3" width="13.44140625" style="1" customWidth="1"/>
    <col min="4" max="4" width="10.88671875" style="1" customWidth="1"/>
    <col min="5" max="5" width="9.6640625" style="1" bestFit="1" customWidth="1"/>
    <col min="6" max="6" width="15.109375" style="1" customWidth="1"/>
    <col min="7" max="7" width="14.88671875" style="1" customWidth="1"/>
    <col min="8" max="9" width="9.109375" style="1" bestFit="1" customWidth="1"/>
    <col min="10" max="12" width="9" style="1" customWidth="1"/>
    <col min="13" max="13" width="11.21875" style="1" customWidth="1"/>
    <col min="14" max="14" width="12.109375" style="1" customWidth="1"/>
    <col min="15" max="16" width="9" style="1" customWidth="1"/>
    <col min="17" max="16384" width="9" style="1"/>
  </cols>
  <sheetData>
    <row r="1" spans="1:14" ht="41.4" customHeight="1" x14ac:dyDescent="0.25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1" t="s">
        <v>5</v>
      </c>
      <c r="G1" s="3" t="s">
        <v>6</v>
      </c>
      <c r="H1" s="2" t="s">
        <v>7</v>
      </c>
      <c r="I1" s="2" t="s">
        <v>8</v>
      </c>
      <c r="J1" s="1" t="s">
        <v>9</v>
      </c>
      <c r="K1" s="2" t="s">
        <v>10</v>
      </c>
      <c r="L1" s="2" t="s">
        <v>11</v>
      </c>
      <c r="M1" s="1" t="s">
        <v>12</v>
      </c>
      <c r="N1" s="1" t="s">
        <v>13</v>
      </c>
    </row>
    <row r="2" spans="1:14" x14ac:dyDescent="0.25">
      <c r="A2" s="3" t="s">
        <v>14</v>
      </c>
      <c r="B2" s="3" t="s">
        <v>15</v>
      </c>
      <c r="C2" s="3" t="s">
        <v>16</v>
      </c>
      <c r="D2" s="3">
        <v>20260413</v>
      </c>
      <c r="E2" s="3">
        <v>20260413</v>
      </c>
      <c r="F2" s="1" t="s">
        <v>17</v>
      </c>
      <c r="G2" s="3">
        <v>6538</v>
      </c>
      <c r="H2" s="3">
        <v>5157</v>
      </c>
      <c r="I2" s="3">
        <v>5162</v>
      </c>
      <c r="J2" s="1" t="s">
        <v>18</v>
      </c>
      <c r="K2" s="3">
        <v>4899</v>
      </c>
      <c r="L2" s="3"/>
      <c r="M2" s="1">
        <f>SUM(H2:H50)</f>
        <v>261978</v>
      </c>
      <c r="N2" s="1">
        <f>SUM(I2:I46)</f>
        <v>79550</v>
      </c>
    </row>
    <row r="3" spans="1:14" x14ac:dyDescent="0.25">
      <c r="A3" s="3" t="s">
        <v>19</v>
      </c>
      <c r="B3" s="3" t="s">
        <v>15</v>
      </c>
      <c r="C3" s="3" t="s">
        <v>20</v>
      </c>
      <c r="D3" s="3">
        <v>20260417</v>
      </c>
      <c r="E3" s="3">
        <v>20260417</v>
      </c>
      <c r="F3" s="1">
        <v>414.64</v>
      </c>
      <c r="G3" s="1">
        <v>7023</v>
      </c>
      <c r="H3" s="1">
        <v>6547</v>
      </c>
      <c r="I3" s="1">
        <v>5871</v>
      </c>
      <c r="J3" s="1" t="s">
        <v>21</v>
      </c>
      <c r="K3" s="1">
        <v>5700</v>
      </c>
    </row>
    <row r="4" spans="1:14" x14ac:dyDescent="0.25">
      <c r="A4" s="3" t="s">
        <v>22</v>
      </c>
      <c r="B4" s="3" t="s">
        <v>15</v>
      </c>
      <c r="C4" s="3" t="s">
        <v>23</v>
      </c>
      <c r="D4" s="3">
        <v>20260414</v>
      </c>
      <c r="E4" s="3">
        <v>20260414</v>
      </c>
      <c r="F4" s="1">
        <v>219.42</v>
      </c>
      <c r="G4" s="3">
        <v>4998</v>
      </c>
      <c r="H4" s="1">
        <v>3118</v>
      </c>
      <c r="I4" s="1">
        <v>3118</v>
      </c>
      <c r="J4" s="1" t="s">
        <v>24</v>
      </c>
      <c r="K4" s="1">
        <v>2946</v>
      </c>
    </row>
    <row r="5" spans="1:14" x14ac:dyDescent="0.25">
      <c r="A5" s="1" t="s">
        <v>25</v>
      </c>
      <c r="B5" s="1" t="s">
        <v>26</v>
      </c>
      <c r="C5" s="1" t="s">
        <v>27</v>
      </c>
      <c r="D5" s="1">
        <v>20260422</v>
      </c>
      <c r="E5" s="1">
        <v>20260422</v>
      </c>
      <c r="F5" s="1">
        <v>440.76</v>
      </c>
      <c r="G5" s="1">
        <v>11132</v>
      </c>
      <c r="I5" s="1">
        <v>1577</v>
      </c>
      <c r="J5" s="1" t="s">
        <v>28</v>
      </c>
    </row>
    <row r="6" spans="1:14" x14ac:dyDescent="0.25">
      <c r="A6" s="3" t="s">
        <v>29</v>
      </c>
      <c r="B6" s="3" t="s">
        <v>15</v>
      </c>
      <c r="C6" s="3" t="s">
        <v>30</v>
      </c>
      <c r="D6" s="3">
        <v>20260414</v>
      </c>
      <c r="E6" s="3">
        <v>20260414</v>
      </c>
      <c r="F6" s="1">
        <v>91.8</v>
      </c>
      <c r="G6" s="3">
        <v>1573</v>
      </c>
      <c r="H6" s="1">
        <v>1479</v>
      </c>
      <c r="I6" s="1">
        <v>1319</v>
      </c>
      <c r="J6" s="1" t="s">
        <v>31</v>
      </c>
      <c r="K6" s="1">
        <v>1393</v>
      </c>
    </row>
    <row r="7" spans="1:14" x14ac:dyDescent="0.25">
      <c r="A7" s="1" t="s">
        <v>32</v>
      </c>
      <c r="B7" s="3" t="s">
        <v>15</v>
      </c>
      <c r="C7" s="1" t="s">
        <v>32</v>
      </c>
      <c r="D7" s="4">
        <v>20260423</v>
      </c>
      <c r="E7" s="4">
        <v>20260423</v>
      </c>
      <c r="F7" s="1">
        <v>51.75</v>
      </c>
      <c r="G7" s="1">
        <v>695</v>
      </c>
      <c r="H7" s="1">
        <v>498</v>
      </c>
      <c r="I7" s="1">
        <v>507</v>
      </c>
      <c r="J7" s="1" t="s">
        <v>33</v>
      </c>
    </row>
    <row r="8" spans="1:14" x14ac:dyDescent="0.25">
      <c r="A8" s="1" t="s">
        <v>34</v>
      </c>
      <c r="B8" s="3" t="s">
        <v>15</v>
      </c>
      <c r="C8" s="3" t="s">
        <v>16</v>
      </c>
      <c r="D8" s="4">
        <v>20260423</v>
      </c>
      <c r="E8" s="4">
        <v>20260423</v>
      </c>
      <c r="F8" s="1">
        <v>203.96</v>
      </c>
      <c r="G8" s="1">
        <v>2527</v>
      </c>
      <c r="I8" s="1">
        <v>2000</v>
      </c>
      <c r="J8" s="1" t="s">
        <v>35</v>
      </c>
    </row>
    <row r="9" spans="1:14" x14ac:dyDescent="0.25">
      <c r="A9" s="1" t="s">
        <v>36</v>
      </c>
      <c r="B9" s="3" t="s">
        <v>15</v>
      </c>
      <c r="C9" s="1" t="s">
        <v>20</v>
      </c>
      <c r="D9" s="3">
        <v>20260417</v>
      </c>
      <c r="E9" s="3">
        <v>20260417</v>
      </c>
      <c r="F9" s="1">
        <v>95.96</v>
      </c>
      <c r="G9" s="1">
        <v>1150</v>
      </c>
      <c r="I9" s="1">
        <v>926</v>
      </c>
      <c r="J9" s="1" t="s">
        <v>37</v>
      </c>
    </row>
    <row r="10" spans="1:14" s="9" customFormat="1" x14ac:dyDescent="0.25">
      <c r="A10" s="9" t="s">
        <v>38</v>
      </c>
      <c r="B10" s="6" t="s">
        <v>15</v>
      </c>
      <c r="C10" s="9" t="s">
        <v>39</v>
      </c>
      <c r="D10" s="9">
        <v>20260424</v>
      </c>
      <c r="E10" s="9">
        <v>20260424</v>
      </c>
      <c r="F10" s="9">
        <v>176.09</v>
      </c>
      <c r="G10" s="9">
        <v>998</v>
      </c>
      <c r="I10" s="9">
        <v>752</v>
      </c>
      <c r="J10" s="9" t="s">
        <v>40</v>
      </c>
    </row>
    <row r="11" spans="1:14" x14ac:dyDescent="0.25">
      <c r="A11" s="1" t="s">
        <v>41</v>
      </c>
      <c r="B11" s="3" t="s">
        <v>15</v>
      </c>
      <c r="C11" s="1" t="s">
        <v>42</v>
      </c>
      <c r="D11" s="1">
        <v>20260424</v>
      </c>
      <c r="E11" s="1">
        <v>20260424</v>
      </c>
      <c r="F11" s="1">
        <v>495.89</v>
      </c>
      <c r="G11" s="1">
        <v>6644</v>
      </c>
      <c r="I11" s="1">
        <v>4949</v>
      </c>
      <c r="J11" s="1" t="s">
        <v>43</v>
      </c>
    </row>
    <row r="12" spans="1:14" x14ac:dyDescent="0.25">
      <c r="A12" s="1" t="s">
        <v>44</v>
      </c>
      <c r="B12" s="3" t="s">
        <v>15</v>
      </c>
      <c r="C12" s="3" t="s">
        <v>16</v>
      </c>
      <c r="D12" s="1">
        <v>20260425</v>
      </c>
      <c r="E12" s="1">
        <v>20260425</v>
      </c>
      <c r="F12" s="1">
        <v>328.28</v>
      </c>
      <c r="G12" s="1">
        <v>2766</v>
      </c>
      <c r="H12" s="1">
        <v>2268</v>
      </c>
      <c r="I12" s="1">
        <v>2268</v>
      </c>
      <c r="J12" s="1" t="s">
        <v>45</v>
      </c>
      <c r="K12" s="1">
        <v>2154</v>
      </c>
    </row>
    <row r="13" spans="1:14" s="10" customFormat="1" x14ac:dyDescent="0.25">
      <c r="A13" s="10" t="s">
        <v>46</v>
      </c>
      <c r="B13" s="10" t="s">
        <v>26</v>
      </c>
      <c r="C13" s="10" t="s">
        <v>47</v>
      </c>
      <c r="D13" s="10">
        <v>20260425</v>
      </c>
      <c r="E13" s="10">
        <v>20260425</v>
      </c>
      <c r="F13" s="10">
        <v>1218.72</v>
      </c>
      <c r="G13" s="10">
        <v>35288</v>
      </c>
      <c r="H13" s="10">
        <v>2743</v>
      </c>
      <c r="I13" s="10">
        <v>28926</v>
      </c>
      <c r="J13" s="10" t="s">
        <v>48</v>
      </c>
      <c r="K13" s="1">
        <v>2598</v>
      </c>
    </row>
    <row r="14" spans="1:14" x14ac:dyDescent="0.25">
      <c r="A14" s="3" t="s">
        <v>49</v>
      </c>
      <c r="B14" s="3" t="s">
        <v>15</v>
      </c>
      <c r="C14" s="3" t="s">
        <v>23</v>
      </c>
      <c r="D14" s="1">
        <v>20260425</v>
      </c>
      <c r="E14" s="1">
        <v>20260425</v>
      </c>
      <c r="F14" s="1">
        <v>128.77000000000001</v>
      </c>
      <c r="G14" s="1">
        <v>4041</v>
      </c>
      <c r="H14" s="1">
        <v>2793</v>
      </c>
      <c r="I14" s="1">
        <v>2793</v>
      </c>
      <c r="J14" s="1" t="s">
        <v>50</v>
      </c>
      <c r="K14" s="1">
        <v>2650</v>
      </c>
    </row>
    <row r="15" spans="1:14" x14ac:dyDescent="0.25">
      <c r="A15" s="1" t="s">
        <v>51</v>
      </c>
      <c r="B15" s="3" t="s">
        <v>15</v>
      </c>
      <c r="C15" s="3" t="s">
        <v>16</v>
      </c>
      <c r="D15" s="1">
        <v>20260413</v>
      </c>
      <c r="E15" s="1">
        <v>20260413</v>
      </c>
      <c r="F15" s="1">
        <v>860.69</v>
      </c>
      <c r="G15" s="1">
        <v>11999</v>
      </c>
      <c r="H15" s="1">
        <v>9191</v>
      </c>
      <c r="I15" s="1">
        <v>9229</v>
      </c>
      <c r="J15" s="1" t="s">
        <v>52</v>
      </c>
      <c r="K15" s="1">
        <v>8726</v>
      </c>
    </row>
    <row r="16" spans="1:14" x14ac:dyDescent="0.25">
      <c r="A16" s="3" t="s">
        <v>53</v>
      </c>
      <c r="B16" s="1" t="s">
        <v>26</v>
      </c>
      <c r="C16" s="1" t="s">
        <v>47</v>
      </c>
      <c r="D16" s="1">
        <v>20260427</v>
      </c>
      <c r="E16" s="1">
        <v>20260427</v>
      </c>
      <c r="F16" s="1">
        <v>600.92999999999995</v>
      </c>
      <c r="G16" s="1">
        <v>5825</v>
      </c>
      <c r="H16" s="1">
        <v>4732</v>
      </c>
      <c r="J16" s="1" t="s">
        <v>54</v>
      </c>
      <c r="K16" s="1">
        <v>4495</v>
      </c>
    </row>
    <row r="17" spans="1:12" x14ac:dyDescent="0.25">
      <c r="A17" s="3" t="s">
        <v>55</v>
      </c>
      <c r="B17" s="1" t="s">
        <v>26</v>
      </c>
      <c r="C17" s="1" t="s">
        <v>47</v>
      </c>
      <c r="D17" s="1">
        <v>20260427</v>
      </c>
      <c r="E17" s="1">
        <v>20260427</v>
      </c>
      <c r="F17" s="1">
        <v>606.78</v>
      </c>
      <c r="G17" s="1">
        <v>19484</v>
      </c>
      <c r="H17" s="1">
        <v>16898</v>
      </c>
      <c r="J17" s="1" t="s">
        <v>56</v>
      </c>
      <c r="K17" s="1">
        <v>16044</v>
      </c>
    </row>
    <row r="18" spans="1:12" x14ac:dyDescent="0.25">
      <c r="A18" s="3" t="s">
        <v>57</v>
      </c>
      <c r="B18" s="1" t="s">
        <v>26</v>
      </c>
      <c r="C18" s="1" t="s">
        <v>47</v>
      </c>
      <c r="D18" s="1">
        <v>20260427</v>
      </c>
      <c r="E18" s="1">
        <v>20260427</v>
      </c>
      <c r="F18" s="1">
        <v>246.03</v>
      </c>
      <c r="G18" s="1">
        <v>5024</v>
      </c>
      <c r="H18" s="1">
        <v>4015</v>
      </c>
      <c r="J18" s="1" t="s">
        <v>58</v>
      </c>
      <c r="K18" s="1">
        <v>3803</v>
      </c>
    </row>
    <row r="19" spans="1:12" x14ac:dyDescent="0.25">
      <c r="A19" s="3" t="s">
        <v>59</v>
      </c>
      <c r="B19" s="1" t="s">
        <v>26</v>
      </c>
      <c r="C19" s="1" t="s">
        <v>47</v>
      </c>
      <c r="D19" s="1">
        <v>20260428</v>
      </c>
      <c r="E19" s="1">
        <v>20260428</v>
      </c>
      <c r="F19" s="1">
        <v>177.21</v>
      </c>
      <c r="G19" s="1">
        <v>5800</v>
      </c>
      <c r="H19" s="1">
        <v>4564</v>
      </c>
      <c r="J19" s="1" t="s">
        <v>60</v>
      </c>
      <c r="K19" s="1">
        <v>4330</v>
      </c>
    </row>
    <row r="20" spans="1:12" x14ac:dyDescent="0.25">
      <c r="A20" s="1" t="s">
        <v>61</v>
      </c>
      <c r="B20" s="1" t="s">
        <v>26</v>
      </c>
      <c r="C20" s="1" t="s">
        <v>47</v>
      </c>
      <c r="D20" s="1">
        <v>20260428</v>
      </c>
      <c r="E20" s="1">
        <v>20260428</v>
      </c>
      <c r="F20" s="1">
        <v>374.28</v>
      </c>
      <c r="G20" s="1">
        <v>10442</v>
      </c>
      <c r="H20" s="1">
        <v>9377</v>
      </c>
      <c r="J20" s="1" t="s">
        <v>62</v>
      </c>
      <c r="K20" s="1">
        <v>8902</v>
      </c>
    </row>
    <row r="21" spans="1:12" x14ac:dyDescent="0.25">
      <c r="A21" s="1" t="s">
        <v>63</v>
      </c>
      <c r="B21" s="1" t="s">
        <v>64</v>
      </c>
      <c r="C21" s="1" t="s">
        <v>65</v>
      </c>
      <c r="D21" s="1">
        <v>20260428</v>
      </c>
      <c r="E21" s="1">
        <v>20260428</v>
      </c>
      <c r="F21" s="1" t="s">
        <v>66</v>
      </c>
      <c r="G21" s="1">
        <v>101419</v>
      </c>
      <c r="H21" s="1">
        <v>58668</v>
      </c>
      <c r="J21" s="1" t="s">
        <v>67</v>
      </c>
      <c r="K21" s="1" t="s">
        <v>177</v>
      </c>
    </row>
    <row r="22" spans="1:12" x14ac:dyDescent="0.25">
      <c r="A22" s="3" t="s">
        <v>68</v>
      </c>
      <c r="B22" s="1" t="s">
        <v>64</v>
      </c>
      <c r="C22" s="1" t="s">
        <v>65</v>
      </c>
      <c r="D22" s="1">
        <v>20260428</v>
      </c>
      <c r="E22" s="1">
        <v>20260428</v>
      </c>
      <c r="F22" s="1">
        <v>1120.43</v>
      </c>
      <c r="G22" s="1">
        <v>31897</v>
      </c>
      <c r="H22" s="1">
        <v>29955</v>
      </c>
      <c r="J22" s="1" t="s">
        <v>69</v>
      </c>
      <c r="K22" s="1">
        <v>28457</v>
      </c>
    </row>
    <row r="23" spans="1:12" x14ac:dyDescent="0.25">
      <c r="A23" s="1" t="s">
        <v>70</v>
      </c>
      <c r="B23" s="1" t="s">
        <v>64</v>
      </c>
      <c r="C23" s="1" t="s">
        <v>65</v>
      </c>
      <c r="D23" s="1">
        <v>20260416</v>
      </c>
      <c r="E23" s="1">
        <v>20260416</v>
      </c>
      <c r="F23" s="1">
        <v>289.58999999999997</v>
      </c>
      <c r="G23" s="1">
        <v>26208</v>
      </c>
      <c r="H23" s="1">
        <v>23443</v>
      </c>
      <c r="J23" s="1" t="s">
        <v>71</v>
      </c>
      <c r="K23" s="1">
        <v>22265</v>
      </c>
    </row>
    <row r="24" spans="1:12" x14ac:dyDescent="0.25">
      <c r="A24" s="3" t="s">
        <v>72</v>
      </c>
      <c r="B24" s="1" t="s">
        <v>64</v>
      </c>
      <c r="C24" s="1" t="s">
        <v>65</v>
      </c>
      <c r="D24" s="1">
        <v>20260429</v>
      </c>
      <c r="E24" s="1">
        <v>20260429</v>
      </c>
      <c r="F24" s="1">
        <v>732.23</v>
      </c>
      <c r="G24" s="1">
        <v>11389</v>
      </c>
      <c r="H24" s="1">
        <v>10052</v>
      </c>
      <c r="J24" s="1" t="s">
        <v>73</v>
      </c>
      <c r="K24" s="1">
        <v>9549</v>
      </c>
    </row>
    <row r="25" spans="1:12" x14ac:dyDescent="0.25">
      <c r="A25" s="5" t="s">
        <v>74</v>
      </c>
      <c r="B25" s="6" t="s">
        <v>15</v>
      </c>
      <c r="C25" s="5" t="s">
        <v>75</v>
      </c>
      <c r="D25" s="5">
        <v>20260424</v>
      </c>
      <c r="E25" s="5">
        <v>20260424</v>
      </c>
      <c r="F25" s="5">
        <v>159.41999999999999</v>
      </c>
      <c r="G25" s="5">
        <v>1624</v>
      </c>
      <c r="H25" s="5"/>
      <c r="I25" s="5">
        <v>1119</v>
      </c>
      <c r="J25" s="5" t="s">
        <v>76</v>
      </c>
      <c r="K25" s="5"/>
      <c r="L25" s="5"/>
    </row>
    <row r="26" spans="1:12" x14ac:dyDescent="0.25">
      <c r="A26" s="1" t="s">
        <v>77</v>
      </c>
      <c r="B26" s="1" t="s">
        <v>26</v>
      </c>
      <c r="C26" s="1" t="s">
        <v>27</v>
      </c>
      <c r="D26" s="1">
        <v>20260429</v>
      </c>
      <c r="E26" s="1">
        <v>20260429</v>
      </c>
      <c r="F26" s="1">
        <v>665.58</v>
      </c>
      <c r="G26" s="1">
        <v>12346</v>
      </c>
      <c r="H26" s="1">
        <v>10107</v>
      </c>
      <c r="J26" s="1" t="s">
        <v>78</v>
      </c>
      <c r="K26" s="1">
        <v>9594</v>
      </c>
    </row>
    <row r="27" spans="1:12" x14ac:dyDescent="0.25">
      <c r="A27" s="3" t="s">
        <v>79</v>
      </c>
      <c r="B27" s="1" t="s">
        <v>26</v>
      </c>
      <c r="C27" s="1" t="s">
        <v>27</v>
      </c>
      <c r="D27" s="1">
        <v>20260430</v>
      </c>
      <c r="E27" s="1">
        <v>20260430</v>
      </c>
      <c r="F27" s="1">
        <v>475.21</v>
      </c>
      <c r="G27" s="1">
        <v>7480</v>
      </c>
      <c r="H27" s="1">
        <v>5414</v>
      </c>
      <c r="J27" s="1" t="s">
        <v>80</v>
      </c>
      <c r="K27" s="1">
        <v>5142</v>
      </c>
    </row>
    <row r="28" spans="1:12" s="5" customFormat="1" x14ac:dyDescent="0.25">
      <c r="A28" s="1" t="s">
        <v>81</v>
      </c>
      <c r="B28" s="3" t="s">
        <v>15</v>
      </c>
      <c r="C28" s="3" t="s">
        <v>16</v>
      </c>
      <c r="D28" s="1">
        <v>20260430</v>
      </c>
      <c r="E28" s="1">
        <v>20260430</v>
      </c>
      <c r="F28" s="1">
        <v>310.74</v>
      </c>
      <c r="G28" s="1">
        <v>6224</v>
      </c>
      <c r="H28" s="1"/>
      <c r="I28" s="1">
        <v>5085</v>
      </c>
      <c r="J28" s="1" t="s">
        <v>82</v>
      </c>
      <c r="K28" s="1"/>
      <c r="L28" s="1"/>
    </row>
    <row r="29" spans="1:12" x14ac:dyDescent="0.25">
      <c r="A29" s="1" t="s">
        <v>83</v>
      </c>
      <c r="B29" s="3" t="s">
        <v>15</v>
      </c>
      <c r="C29" s="3" t="s">
        <v>16</v>
      </c>
      <c r="D29" s="1">
        <v>20260430</v>
      </c>
      <c r="E29" s="1">
        <v>20260430</v>
      </c>
      <c r="F29" s="1">
        <v>186.62</v>
      </c>
      <c r="G29" s="1">
        <v>2281</v>
      </c>
      <c r="I29" s="1">
        <v>1844</v>
      </c>
      <c r="J29" s="1" t="s">
        <v>84</v>
      </c>
    </row>
    <row r="30" spans="1:12" x14ac:dyDescent="0.25">
      <c r="A30" s="8" t="s">
        <v>85</v>
      </c>
      <c r="B30" s="9" t="s">
        <v>64</v>
      </c>
      <c r="C30" s="9" t="s">
        <v>86</v>
      </c>
      <c r="D30" s="9">
        <v>20260504</v>
      </c>
      <c r="E30" s="9">
        <v>20260504</v>
      </c>
      <c r="F30" s="9">
        <v>16504.82</v>
      </c>
      <c r="G30" s="9">
        <v>69270</v>
      </c>
      <c r="H30" s="9">
        <v>42014</v>
      </c>
      <c r="I30" s="9"/>
      <c r="J30" s="9" t="s">
        <v>87</v>
      </c>
      <c r="K30" s="9"/>
      <c r="L30" s="9"/>
    </row>
    <row r="31" spans="1:12" x14ac:dyDescent="0.25">
      <c r="A31" s="1" t="s">
        <v>88</v>
      </c>
      <c r="B31" s="3" t="s">
        <v>15</v>
      </c>
      <c r="C31" s="3" t="s">
        <v>30</v>
      </c>
      <c r="D31" s="1">
        <v>20260414</v>
      </c>
      <c r="E31" s="1">
        <v>20260414</v>
      </c>
      <c r="F31" s="1">
        <v>51.59</v>
      </c>
      <c r="G31" s="1">
        <v>674</v>
      </c>
      <c r="I31" s="1">
        <v>516</v>
      </c>
      <c r="J31" s="1" t="s">
        <v>89</v>
      </c>
    </row>
    <row r="32" spans="1:12" ht="13.2" customHeight="1" x14ac:dyDescent="0.25">
      <c r="A32" s="3" t="s">
        <v>90</v>
      </c>
      <c r="B32" s="3" t="s">
        <v>15</v>
      </c>
      <c r="C32" s="1" t="s">
        <v>91</v>
      </c>
      <c r="D32" s="1">
        <v>20260507</v>
      </c>
      <c r="E32" s="1">
        <v>20260507</v>
      </c>
      <c r="F32" s="1">
        <v>140.63999999999999</v>
      </c>
      <c r="G32" s="1">
        <v>1789</v>
      </c>
      <c r="H32" s="1">
        <v>1204</v>
      </c>
      <c r="J32" s="1" t="s">
        <v>92</v>
      </c>
      <c r="K32" s="1">
        <v>1142</v>
      </c>
    </row>
    <row r="33" spans="1:11" x14ac:dyDescent="0.25">
      <c r="A33" s="1" t="s">
        <v>93</v>
      </c>
      <c r="B33" s="1" t="s">
        <v>15</v>
      </c>
      <c r="C33" s="1" t="s">
        <v>94</v>
      </c>
      <c r="D33" s="1">
        <v>20260507</v>
      </c>
      <c r="E33" s="1">
        <v>20260507</v>
      </c>
      <c r="F33" s="1">
        <v>47.98</v>
      </c>
      <c r="G33" s="1">
        <v>1877</v>
      </c>
      <c r="H33" s="1">
        <v>1591</v>
      </c>
      <c r="I33" s="1">
        <v>1589</v>
      </c>
      <c r="J33" s="1" t="s">
        <v>95</v>
      </c>
      <c r="K33" s="1">
        <v>1511</v>
      </c>
    </row>
    <row r="34" spans="1:11" x14ac:dyDescent="0.25">
      <c r="A34" s="1" t="s">
        <v>96</v>
      </c>
      <c r="B34" s="1" t="s">
        <v>15</v>
      </c>
      <c r="C34" s="1" t="s">
        <v>94</v>
      </c>
      <c r="D34" s="1">
        <v>20260507</v>
      </c>
      <c r="E34" s="1">
        <v>20260507</v>
      </c>
      <c r="F34" s="1">
        <v>105.31</v>
      </c>
      <c r="G34" s="1">
        <v>4662</v>
      </c>
      <c r="H34" s="1">
        <v>3614</v>
      </c>
      <c r="J34" s="1" t="s">
        <v>97</v>
      </c>
      <c r="K34" s="1">
        <v>3431</v>
      </c>
    </row>
    <row r="35" spans="1:11" x14ac:dyDescent="0.25">
      <c r="A35" s="1" t="s">
        <v>98</v>
      </c>
      <c r="B35" s="1" t="s">
        <v>15</v>
      </c>
      <c r="C35" s="1" t="s">
        <v>94</v>
      </c>
      <c r="D35" s="1">
        <v>20260508</v>
      </c>
      <c r="E35" s="1">
        <v>20260508</v>
      </c>
      <c r="F35" s="1">
        <v>242.16</v>
      </c>
      <c r="G35" s="1">
        <v>3352</v>
      </c>
      <c r="H35" s="1">
        <v>2536</v>
      </c>
      <c r="J35" s="1" t="s">
        <v>99</v>
      </c>
      <c r="K35" s="1">
        <v>2409</v>
      </c>
    </row>
  </sheetData>
  <phoneticPr fontId="1" type="noConversion"/>
  <pageMargins left="0.7" right="0.7" top="0.75" bottom="0.75" header="0.3" footer="0.3"/>
  <pageSetup paperSize="9" orientation="portrait" horizontalDpi="300" verticalDpi="30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Y27"/>
  <sheetViews>
    <sheetView topLeftCell="A13" workbookViewId="0">
      <selection activeCell="O12" sqref="O12"/>
    </sheetView>
  </sheetViews>
  <sheetFormatPr defaultColWidth="9" defaultRowHeight="13.8" x14ac:dyDescent="0.25"/>
  <cols>
    <col min="1" max="1" width="14.77734375" style="3" customWidth="1"/>
    <col min="2" max="2" width="57.6640625" style="3" customWidth="1"/>
    <col min="3" max="3" width="9" style="3" customWidth="1"/>
    <col min="4" max="4" width="10.88671875" style="3" customWidth="1"/>
    <col min="5" max="5" width="11.33203125" style="3" customWidth="1"/>
    <col min="6" max="6" width="8.109375" style="3" customWidth="1"/>
    <col min="7" max="7" width="14.109375" style="3" customWidth="1"/>
    <col min="8" max="8" width="10.44140625" style="3" customWidth="1"/>
    <col min="9" max="9" width="11.77734375" style="3" customWidth="1"/>
    <col min="10" max="10" width="14.109375" style="3" customWidth="1"/>
    <col min="11" max="11" width="11.77734375" style="3" customWidth="1"/>
    <col min="12" max="12" width="23.88671875" style="3" customWidth="1"/>
    <col min="13" max="15" width="9" style="3" customWidth="1"/>
    <col min="16" max="16" width="11.6640625" style="3" customWidth="1"/>
    <col min="17" max="17" width="12.5546875" style="3" customWidth="1"/>
    <col min="18" max="18" width="11.109375" style="3" customWidth="1"/>
    <col min="19" max="20" width="9" style="3" customWidth="1"/>
    <col min="21" max="16384" width="9" style="3"/>
  </cols>
  <sheetData>
    <row r="1" spans="1:25" ht="41.4" customHeight="1" x14ac:dyDescent="0.25">
      <c r="A1" s="2" t="s">
        <v>100</v>
      </c>
      <c r="B1" s="2" t="s">
        <v>101</v>
      </c>
      <c r="C1" s="2" t="s">
        <v>102</v>
      </c>
      <c r="D1" s="2" t="s">
        <v>103</v>
      </c>
      <c r="E1" s="2" t="s">
        <v>4</v>
      </c>
      <c r="F1" s="2" t="s">
        <v>104</v>
      </c>
      <c r="G1" s="2" t="s">
        <v>105</v>
      </c>
      <c r="H1" s="2" t="s">
        <v>106</v>
      </c>
      <c r="I1" s="2" t="s">
        <v>107</v>
      </c>
      <c r="J1" s="3" t="s">
        <v>108</v>
      </c>
      <c r="K1" s="3" t="s">
        <v>109</v>
      </c>
      <c r="L1" s="3" t="s">
        <v>110</v>
      </c>
      <c r="M1"/>
      <c r="O1" s="12" t="s">
        <v>111</v>
      </c>
      <c r="P1" s="12" t="s">
        <v>112</v>
      </c>
      <c r="Q1" s="12" t="s">
        <v>113</v>
      </c>
      <c r="R1" s="12" t="s">
        <v>114</v>
      </c>
      <c r="S1" s="12" t="s">
        <v>115</v>
      </c>
    </row>
    <row r="2" spans="1:25" ht="27.6" customHeight="1" x14ac:dyDescent="0.25">
      <c r="A2" s="3" t="s">
        <v>14</v>
      </c>
      <c r="B2" s="3" t="s">
        <v>116</v>
      </c>
      <c r="C2" s="3">
        <v>1</v>
      </c>
      <c r="D2" s="3">
        <v>20230401</v>
      </c>
      <c r="E2" s="3">
        <v>20260414</v>
      </c>
      <c r="F2" s="3" t="s">
        <v>117</v>
      </c>
      <c r="G2" s="3">
        <v>384626</v>
      </c>
      <c r="H2" s="3">
        <v>3828594</v>
      </c>
      <c r="I2" s="3">
        <v>25832</v>
      </c>
      <c r="J2" s="3">
        <v>354270</v>
      </c>
      <c r="K2" s="3">
        <v>3.46</v>
      </c>
      <c r="O2" s="12">
        <f>COUNTA(A2:A30)</f>
        <v>25</v>
      </c>
      <c r="P2" s="12">
        <f>SUM(G2:G31)</f>
        <v>13621453</v>
      </c>
      <c r="Q2" s="12">
        <f>SUM(H2:H31)</f>
        <v>147131514</v>
      </c>
      <c r="R2" s="12">
        <f>SUM(J2:J31)</f>
        <v>12191248</v>
      </c>
      <c r="S2" s="12">
        <f>SUM(K2:K30)</f>
        <v>67.350000000000009</v>
      </c>
      <c r="U2" s="1"/>
      <c r="V2" s="1"/>
      <c r="W2" s="1"/>
      <c r="X2" s="1"/>
      <c r="Y2" s="1"/>
    </row>
    <row r="3" spans="1:25" x14ac:dyDescent="0.25">
      <c r="A3" s="3" t="s">
        <v>22</v>
      </c>
      <c r="B3" s="3" t="s">
        <v>118</v>
      </c>
      <c r="C3" s="3" t="s">
        <v>119</v>
      </c>
      <c r="D3" s="3">
        <v>20250903</v>
      </c>
      <c r="E3" s="3">
        <v>20260414</v>
      </c>
      <c r="F3" s="3" t="s">
        <v>120</v>
      </c>
      <c r="G3" s="3">
        <v>165995</v>
      </c>
      <c r="H3" s="3">
        <v>1888041</v>
      </c>
      <c r="I3" s="3" t="s">
        <v>121</v>
      </c>
      <c r="J3" s="3">
        <v>150825</v>
      </c>
      <c r="K3" s="3">
        <v>1.01</v>
      </c>
      <c r="L3" s="3" t="s">
        <v>122</v>
      </c>
      <c r="M3"/>
      <c r="X3" s="7"/>
    </row>
    <row r="4" spans="1:25" ht="27.6" customHeight="1" x14ac:dyDescent="0.25">
      <c r="A4" s="1" t="s">
        <v>44</v>
      </c>
      <c r="B4" s="3" t="s">
        <v>123</v>
      </c>
      <c r="C4" s="3">
        <v>1</v>
      </c>
      <c r="D4" s="3">
        <v>20251217</v>
      </c>
      <c r="E4" s="3">
        <v>20260424</v>
      </c>
      <c r="F4" s="3" t="s">
        <v>124</v>
      </c>
      <c r="G4" s="3">
        <v>163530</v>
      </c>
      <c r="H4" s="3">
        <v>1414403</v>
      </c>
      <c r="I4" s="3">
        <v>25833</v>
      </c>
      <c r="J4" s="3">
        <v>144990</v>
      </c>
      <c r="K4" s="3">
        <v>0.9</v>
      </c>
      <c r="M4"/>
    </row>
    <row r="5" spans="1:25" ht="27.6" customHeight="1" x14ac:dyDescent="0.25">
      <c r="A5" s="3" t="s">
        <v>51</v>
      </c>
      <c r="B5" s="3" t="s">
        <v>125</v>
      </c>
      <c r="C5" s="3">
        <v>1</v>
      </c>
      <c r="D5" s="3">
        <v>20190301</v>
      </c>
      <c r="E5" s="3">
        <v>20260427</v>
      </c>
      <c r="F5" s="3" t="s">
        <v>124</v>
      </c>
      <c r="G5" s="3">
        <v>928003</v>
      </c>
      <c r="H5" s="3">
        <v>9805809</v>
      </c>
      <c r="I5" s="3">
        <v>25833</v>
      </c>
      <c r="J5" s="3">
        <v>844938</v>
      </c>
      <c r="K5" s="3">
        <v>6.6</v>
      </c>
      <c r="M5"/>
    </row>
    <row r="6" spans="1:25" x14ac:dyDescent="0.25">
      <c r="A6" s="3" t="s">
        <v>49</v>
      </c>
      <c r="B6" s="3" t="s">
        <v>118</v>
      </c>
      <c r="C6" s="3" t="s">
        <v>119</v>
      </c>
      <c r="D6" s="3">
        <v>20250903</v>
      </c>
      <c r="E6" s="3">
        <v>20260425</v>
      </c>
      <c r="F6" s="3" t="s">
        <v>126</v>
      </c>
      <c r="G6" s="3">
        <v>189650</v>
      </c>
      <c r="H6" s="3">
        <v>1785785</v>
      </c>
      <c r="I6" s="3" t="s">
        <v>121</v>
      </c>
      <c r="J6" s="3">
        <v>154002</v>
      </c>
      <c r="K6" s="3">
        <v>1.04</v>
      </c>
      <c r="L6" s="3" t="s">
        <v>122</v>
      </c>
      <c r="M6"/>
    </row>
    <row r="7" spans="1:25" ht="27.6" customHeight="1" x14ac:dyDescent="0.25">
      <c r="A7" s="3" t="s">
        <v>32</v>
      </c>
      <c r="B7" s="3" t="s">
        <v>127</v>
      </c>
      <c r="C7" s="3">
        <v>1</v>
      </c>
      <c r="D7" s="3">
        <v>2013</v>
      </c>
      <c r="E7" s="3">
        <v>20260427</v>
      </c>
      <c r="F7" s="3" t="s">
        <v>124</v>
      </c>
      <c r="G7" s="3">
        <v>10300</v>
      </c>
      <c r="H7" s="3">
        <v>117373</v>
      </c>
      <c r="I7" s="3">
        <v>2169</v>
      </c>
      <c r="J7" s="3">
        <v>8783</v>
      </c>
      <c r="K7" s="3">
        <v>0.05</v>
      </c>
      <c r="L7" s="3" t="s">
        <v>128</v>
      </c>
    </row>
    <row r="8" spans="1:25" ht="42" customHeight="1" x14ac:dyDescent="0.25">
      <c r="A8" s="3" t="s">
        <v>53</v>
      </c>
      <c r="B8" s="3" t="s">
        <v>129</v>
      </c>
      <c r="C8" s="3">
        <v>1</v>
      </c>
      <c r="D8" s="3">
        <v>2019</v>
      </c>
      <c r="E8" s="3">
        <v>20260427</v>
      </c>
      <c r="F8" s="3" t="s">
        <v>126</v>
      </c>
      <c r="G8" s="3">
        <v>159456</v>
      </c>
      <c r="H8" s="3">
        <v>1318683</v>
      </c>
      <c r="I8" s="3">
        <v>4979</v>
      </c>
      <c r="J8" s="3">
        <v>156099</v>
      </c>
      <c r="K8" s="3">
        <v>0.15</v>
      </c>
      <c r="L8" s="3" t="s">
        <v>130</v>
      </c>
      <c r="M8"/>
    </row>
    <row r="9" spans="1:25" ht="41.4" customHeight="1" x14ac:dyDescent="0.25">
      <c r="A9" s="3" t="s">
        <v>55</v>
      </c>
      <c r="B9" s="7" t="s">
        <v>131</v>
      </c>
      <c r="C9" s="3">
        <v>1</v>
      </c>
      <c r="D9" s="3">
        <v>2019</v>
      </c>
      <c r="E9" s="3">
        <v>20260427</v>
      </c>
      <c r="F9" s="3" t="s">
        <v>126</v>
      </c>
      <c r="G9" s="3">
        <v>1617647</v>
      </c>
      <c r="H9" s="3">
        <v>12204658</v>
      </c>
      <c r="I9" s="3">
        <v>4979</v>
      </c>
      <c r="J9" s="3">
        <v>822807</v>
      </c>
      <c r="K9" s="3">
        <v>1.43</v>
      </c>
      <c r="M9"/>
    </row>
    <row r="10" spans="1:25" ht="41.4" customHeight="1" x14ac:dyDescent="0.25">
      <c r="A10" s="3" t="s">
        <v>57</v>
      </c>
      <c r="B10" s="3" t="s">
        <v>132</v>
      </c>
      <c r="C10" s="3">
        <v>1</v>
      </c>
      <c r="D10" s="3">
        <v>2019</v>
      </c>
      <c r="E10" s="3">
        <v>20260427</v>
      </c>
      <c r="F10" s="3" t="s">
        <v>126</v>
      </c>
      <c r="G10" s="3">
        <v>123192</v>
      </c>
      <c r="H10" s="3">
        <v>943032</v>
      </c>
      <c r="I10" s="3">
        <v>4979</v>
      </c>
      <c r="J10" s="1">
        <v>95833</v>
      </c>
      <c r="K10" s="3">
        <v>0.11</v>
      </c>
      <c r="M10"/>
    </row>
    <row r="11" spans="1:25" ht="41.4" customHeight="1" x14ac:dyDescent="0.25">
      <c r="A11" s="3" t="s">
        <v>59</v>
      </c>
      <c r="B11" s="3" t="s">
        <v>133</v>
      </c>
      <c r="C11" s="3">
        <v>1</v>
      </c>
      <c r="D11" s="3">
        <v>2019</v>
      </c>
      <c r="E11" s="3">
        <v>20260428</v>
      </c>
      <c r="F11" s="3" t="s">
        <v>126</v>
      </c>
      <c r="G11" s="3">
        <v>161911</v>
      </c>
      <c r="H11" s="3">
        <v>1717713</v>
      </c>
      <c r="I11" s="3">
        <v>4979</v>
      </c>
      <c r="J11" s="3">
        <v>157837</v>
      </c>
      <c r="K11" s="3">
        <v>0.19</v>
      </c>
      <c r="M11"/>
      <c r="O11" s="1"/>
      <c r="P11" s="1"/>
      <c r="Q11" s="1"/>
      <c r="R11" s="1"/>
      <c r="S11" s="1"/>
      <c r="T11" s="1"/>
    </row>
    <row r="12" spans="1:25" ht="40.200000000000003" customHeight="1" x14ac:dyDescent="0.25">
      <c r="A12" s="3" t="s">
        <v>46</v>
      </c>
      <c r="B12" s="3" t="s">
        <v>134</v>
      </c>
      <c r="C12" s="3">
        <v>1</v>
      </c>
      <c r="D12" s="3">
        <v>2019</v>
      </c>
      <c r="E12" s="3">
        <v>20260428</v>
      </c>
      <c r="F12" s="3" t="s">
        <v>126</v>
      </c>
      <c r="G12" s="3">
        <v>42974</v>
      </c>
      <c r="H12" s="3">
        <v>421462</v>
      </c>
      <c r="I12" s="3">
        <v>4979</v>
      </c>
      <c r="J12" s="3">
        <v>42678</v>
      </c>
      <c r="K12" s="3">
        <v>0.05</v>
      </c>
      <c r="L12" s="3" t="s">
        <v>135</v>
      </c>
      <c r="M12"/>
    </row>
    <row r="13" spans="1:25" ht="42.6" customHeight="1" x14ac:dyDescent="0.25">
      <c r="A13" s="3" t="s">
        <v>61</v>
      </c>
      <c r="B13" s="3" t="s">
        <v>136</v>
      </c>
      <c r="C13" s="3">
        <v>1</v>
      </c>
      <c r="D13" s="3">
        <v>2019</v>
      </c>
      <c r="E13" s="3">
        <v>20260428</v>
      </c>
      <c r="F13" s="3" t="s">
        <v>126</v>
      </c>
      <c r="G13" s="3">
        <v>296701</v>
      </c>
      <c r="H13" s="3">
        <v>2587730</v>
      </c>
      <c r="I13" s="3">
        <v>4979</v>
      </c>
      <c r="J13" s="3">
        <v>232296</v>
      </c>
      <c r="K13" s="3">
        <v>0.3</v>
      </c>
      <c r="M13"/>
    </row>
    <row r="14" spans="1:25" x14ac:dyDescent="0.25">
      <c r="A14" s="3" t="s">
        <v>63</v>
      </c>
      <c r="B14" s="3" t="s">
        <v>137</v>
      </c>
      <c r="C14" s="3">
        <v>1</v>
      </c>
      <c r="D14" s="3">
        <v>2025</v>
      </c>
      <c r="E14" s="3">
        <v>20260428</v>
      </c>
      <c r="F14" s="3" t="s">
        <v>124</v>
      </c>
      <c r="G14" s="3">
        <v>2005288</v>
      </c>
      <c r="H14" s="3">
        <v>16731447</v>
      </c>
      <c r="I14" s="3">
        <v>6697</v>
      </c>
      <c r="J14" s="3">
        <v>1992669</v>
      </c>
      <c r="K14" s="3">
        <v>31.3</v>
      </c>
      <c r="L14" s="3" t="s">
        <v>138</v>
      </c>
      <c r="M14"/>
    </row>
    <row r="15" spans="1:25" ht="27.6" customHeight="1" x14ac:dyDescent="0.25">
      <c r="A15" s="3" t="s">
        <v>139</v>
      </c>
      <c r="B15" s="3" t="s">
        <v>140</v>
      </c>
      <c r="C15" s="3">
        <v>1</v>
      </c>
      <c r="D15" s="3">
        <v>2020</v>
      </c>
      <c r="E15" s="3">
        <v>20260428</v>
      </c>
      <c r="F15" s="3" t="s">
        <v>124</v>
      </c>
      <c r="G15" s="3">
        <v>646474</v>
      </c>
      <c r="H15" s="3">
        <v>4986557</v>
      </c>
      <c r="I15" s="3">
        <v>6697</v>
      </c>
      <c r="J15" s="3">
        <v>633726</v>
      </c>
      <c r="K15" s="3">
        <v>7.52</v>
      </c>
      <c r="M15"/>
    </row>
    <row r="16" spans="1:25" ht="27.6" customHeight="1" x14ac:dyDescent="0.25">
      <c r="A16" s="3" t="s">
        <v>70</v>
      </c>
      <c r="B16" s="3" t="s">
        <v>141</v>
      </c>
      <c r="C16" s="3">
        <v>1</v>
      </c>
      <c r="D16" s="3">
        <v>2025</v>
      </c>
      <c r="E16" s="1">
        <v>20260421</v>
      </c>
      <c r="F16" s="3" t="s">
        <v>124</v>
      </c>
      <c r="G16" s="3">
        <v>616119</v>
      </c>
      <c r="H16" s="3">
        <v>4770080</v>
      </c>
      <c r="I16" s="3">
        <v>6697</v>
      </c>
      <c r="J16" s="3">
        <v>605292</v>
      </c>
      <c r="K16" s="3">
        <v>7.87</v>
      </c>
      <c r="M16"/>
    </row>
    <row r="17" spans="1:13" ht="27.6" customHeight="1" x14ac:dyDescent="0.25">
      <c r="A17" s="3" t="s">
        <v>72</v>
      </c>
      <c r="B17" s="3" t="s">
        <v>142</v>
      </c>
      <c r="C17" s="3">
        <v>1</v>
      </c>
      <c r="D17" s="3">
        <v>2024</v>
      </c>
      <c r="E17" s="3">
        <v>20260429</v>
      </c>
      <c r="F17" s="3" t="s">
        <v>124</v>
      </c>
      <c r="G17" s="3">
        <v>213878</v>
      </c>
      <c r="H17" s="3">
        <v>1997339</v>
      </c>
      <c r="I17" s="3">
        <v>6697</v>
      </c>
      <c r="J17" s="3">
        <v>211022</v>
      </c>
      <c r="K17" s="3">
        <v>2.37</v>
      </c>
      <c r="M17"/>
    </row>
    <row r="18" spans="1:13" x14ac:dyDescent="0.25">
      <c r="A18" s="3" t="s">
        <v>77</v>
      </c>
      <c r="B18" s="3" t="s">
        <v>143</v>
      </c>
      <c r="C18" s="3">
        <v>1</v>
      </c>
      <c r="D18" s="3">
        <v>2025</v>
      </c>
      <c r="E18" s="3">
        <v>20260429</v>
      </c>
      <c r="F18" s="3" t="s">
        <v>144</v>
      </c>
      <c r="G18" s="3">
        <v>409703</v>
      </c>
      <c r="H18" s="3">
        <v>5523858</v>
      </c>
      <c r="I18" s="3">
        <v>3857</v>
      </c>
      <c r="J18" s="3">
        <v>404248</v>
      </c>
      <c r="K18" s="3">
        <v>0.28999999999999998</v>
      </c>
      <c r="M18"/>
    </row>
    <row r="19" spans="1:13" x14ac:dyDescent="0.25">
      <c r="A19" s="3" t="s">
        <v>19</v>
      </c>
      <c r="B19" s="3" t="s">
        <v>145</v>
      </c>
      <c r="C19" s="3">
        <v>1.4</v>
      </c>
      <c r="D19" s="3">
        <v>20251120</v>
      </c>
      <c r="E19" s="3">
        <v>20260429</v>
      </c>
      <c r="F19" s="3" t="s">
        <v>144</v>
      </c>
      <c r="G19" s="3">
        <v>695635</v>
      </c>
      <c r="H19" s="3">
        <v>7796212</v>
      </c>
      <c r="I19" s="1">
        <v>31256</v>
      </c>
      <c r="J19" s="3">
        <v>643661</v>
      </c>
      <c r="K19" s="3">
        <v>0.26</v>
      </c>
      <c r="M19"/>
    </row>
    <row r="20" spans="1:13" x14ac:dyDescent="0.25">
      <c r="A20" s="3" t="s">
        <v>79</v>
      </c>
      <c r="B20" s="3" t="s">
        <v>146</v>
      </c>
      <c r="C20" s="3">
        <v>1</v>
      </c>
      <c r="D20" s="3">
        <v>202412</v>
      </c>
      <c r="E20" s="3">
        <v>20260430</v>
      </c>
      <c r="F20" s="3" t="s">
        <v>144</v>
      </c>
      <c r="G20" s="3">
        <v>282398</v>
      </c>
      <c r="H20" s="3">
        <v>2142829</v>
      </c>
      <c r="I20" s="3">
        <v>32614</v>
      </c>
      <c r="J20" s="3">
        <v>279344</v>
      </c>
      <c r="K20" s="3">
        <v>0.28999999999999998</v>
      </c>
      <c r="M20"/>
    </row>
    <row r="21" spans="1:13" ht="27.6" customHeight="1" x14ac:dyDescent="0.25">
      <c r="A21" s="6" t="s">
        <v>85</v>
      </c>
      <c r="B21" s="6" t="s">
        <v>147</v>
      </c>
      <c r="C21" s="6">
        <v>1</v>
      </c>
      <c r="D21" s="6">
        <v>20240729</v>
      </c>
      <c r="E21" s="6">
        <v>20260415</v>
      </c>
      <c r="F21" s="6" t="s">
        <v>144</v>
      </c>
      <c r="G21" s="6">
        <v>4088130</v>
      </c>
      <c r="H21" s="6">
        <v>59562180</v>
      </c>
      <c r="I21" s="13">
        <v>4490</v>
      </c>
      <c r="J21" s="6">
        <v>3943700</v>
      </c>
      <c r="K21" s="6">
        <v>1.79</v>
      </c>
      <c r="L21" s="6" t="s">
        <v>148</v>
      </c>
    </row>
    <row r="22" spans="1:13" ht="41.4" customHeight="1" x14ac:dyDescent="0.25">
      <c r="A22" s="3" t="s">
        <v>29</v>
      </c>
      <c r="B22" s="7" t="s">
        <v>149</v>
      </c>
      <c r="C22" s="3">
        <v>1</v>
      </c>
      <c r="D22" s="3">
        <v>20260501</v>
      </c>
      <c r="E22" s="3">
        <v>20260506</v>
      </c>
      <c r="F22" s="3" t="s">
        <v>144</v>
      </c>
      <c r="G22" s="3">
        <v>65986</v>
      </c>
      <c r="H22" s="3">
        <v>945198</v>
      </c>
      <c r="I22" s="3">
        <v>2056</v>
      </c>
      <c r="J22" s="3">
        <v>55020</v>
      </c>
      <c r="K22" s="3">
        <v>0.15</v>
      </c>
      <c r="M22"/>
    </row>
    <row r="23" spans="1:13" ht="41.4" customHeight="1" x14ac:dyDescent="0.25">
      <c r="A23" s="3" t="s">
        <v>90</v>
      </c>
      <c r="B23" s="7" t="s">
        <v>150</v>
      </c>
      <c r="C23" s="3">
        <v>1</v>
      </c>
      <c r="D23" s="3">
        <v>20260422</v>
      </c>
      <c r="E23" s="3">
        <v>20260507</v>
      </c>
      <c r="F23" s="3" t="s">
        <v>151</v>
      </c>
      <c r="G23" s="3">
        <v>54707</v>
      </c>
      <c r="H23" s="3">
        <v>546955</v>
      </c>
      <c r="I23" s="3">
        <v>4326</v>
      </c>
      <c r="J23" s="3">
        <v>50968</v>
      </c>
      <c r="K23" s="3">
        <v>0.05</v>
      </c>
      <c r="M23"/>
    </row>
    <row r="24" spans="1:13" ht="27.6" customHeight="1" x14ac:dyDescent="0.25">
      <c r="A24" s="3" t="s">
        <v>96</v>
      </c>
      <c r="B24" s="3" t="s">
        <v>152</v>
      </c>
      <c r="C24" s="3">
        <v>1</v>
      </c>
      <c r="D24" s="3">
        <v>20260203</v>
      </c>
      <c r="E24" s="3">
        <v>20260508</v>
      </c>
      <c r="F24" s="3" t="s">
        <v>153</v>
      </c>
      <c r="G24" s="3">
        <v>86053</v>
      </c>
      <c r="H24" s="3">
        <v>1502152</v>
      </c>
      <c r="I24" s="3">
        <v>2154</v>
      </c>
      <c r="J24" s="3">
        <v>71781</v>
      </c>
      <c r="K24" s="3">
        <v>7.0000000000000007E-2</v>
      </c>
      <c r="L24" s="3" t="s">
        <v>154</v>
      </c>
      <c r="M24"/>
    </row>
    <row r="25" spans="1:13" ht="27.6" customHeight="1" x14ac:dyDescent="0.25">
      <c r="A25" s="3" t="s">
        <v>93</v>
      </c>
      <c r="B25" s="3" t="s">
        <v>152</v>
      </c>
      <c r="C25" s="3">
        <v>1</v>
      </c>
      <c r="D25" s="3">
        <v>20260203</v>
      </c>
      <c r="E25" s="3">
        <v>20260508</v>
      </c>
      <c r="F25" s="3" t="s">
        <v>153</v>
      </c>
      <c r="G25" s="3">
        <v>59983</v>
      </c>
      <c r="H25" s="3">
        <v>882224</v>
      </c>
      <c r="I25" s="3">
        <v>2154</v>
      </c>
      <c r="J25" s="3">
        <v>25809</v>
      </c>
      <c r="K25" s="3">
        <v>0.03</v>
      </c>
      <c r="L25" s="3" t="s">
        <v>155</v>
      </c>
      <c r="M25"/>
    </row>
    <row r="26" spans="1:13" ht="27.6" customHeight="1" x14ac:dyDescent="0.25">
      <c r="A26" s="14" t="s">
        <v>98</v>
      </c>
      <c r="B26" s="14" t="s">
        <v>152</v>
      </c>
      <c r="C26" s="14">
        <v>1</v>
      </c>
      <c r="D26" s="14">
        <v>20260203</v>
      </c>
      <c r="E26" s="14">
        <v>20260508</v>
      </c>
      <c r="F26" s="14" t="s">
        <v>153</v>
      </c>
      <c r="G26" s="14">
        <v>153114</v>
      </c>
      <c r="H26" s="14">
        <v>1711200</v>
      </c>
      <c r="I26" s="3">
        <v>2154</v>
      </c>
      <c r="J26" s="14">
        <v>108650</v>
      </c>
      <c r="K26" s="14">
        <v>7.0000000000000007E-2</v>
      </c>
      <c r="L26" s="14" t="s">
        <v>155</v>
      </c>
      <c r="M26"/>
    </row>
    <row r="27" spans="1:13" s="14" customFormat="1" x14ac:dyDescent="0.25"/>
  </sheetData>
  <phoneticPr fontId="1" type="noConversion"/>
  <hyperlinks>
    <hyperlink ref="B9" r:id="rId1" xr:uid="{00000000-0004-0000-0100-000000000000}"/>
    <hyperlink ref="B22" r:id="rId2" xr:uid="{00000000-0004-0000-0100-000001000000}"/>
    <hyperlink ref="B23" r:id="rId3" xr:uid="{00000000-0004-0000-0100-000002000000}"/>
  </hyperlinks>
  <pageMargins left="0.7" right="0.7" top="0.75" bottom="0.75" header="0.3" footer="0.3"/>
  <pageSetup paperSize="9" orientation="portrait" horizontalDpi="300" verticalDpi="300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S20"/>
  <sheetViews>
    <sheetView topLeftCell="C1" zoomScaleNormal="100" workbookViewId="0">
      <selection activeCell="R2" sqref="R2"/>
    </sheetView>
  </sheetViews>
  <sheetFormatPr defaultColWidth="9" defaultRowHeight="13.8" x14ac:dyDescent="0.25"/>
  <cols>
    <col min="1" max="1" width="13.77734375" style="3" customWidth="1"/>
    <col min="2" max="2" width="76.88671875" style="3" customWidth="1"/>
    <col min="3" max="3" width="9.109375" style="3" bestFit="1" customWidth="1"/>
    <col min="4" max="4" width="11.6640625" style="3" customWidth="1"/>
    <col min="5" max="5" width="9.6640625" style="3" bestFit="1" customWidth="1"/>
    <col min="6" max="6" width="9" style="3" customWidth="1"/>
    <col min="7" max="7" width="9.109375" style="3" bestFit="1" customWidth="1"/>
    <col min="8" max="8" width="11.21875" style="3" customWidth="1"/>
    <col min="9" max="9" width="9.109375" style="3" bestFit="1" customWidth="1"/>
    <col min="10" max="10" width="11.77734375" style="3" customWidth="1"/>
    <col min="11" max="11" width="16.77734375" style="3" customWidth="1"/>
    <col min="12" max="12" width="26.109375" style="3" customWidth="1"/>
    <col min="13" max="15" width="9" style="3" customWidth="1"/>
    <col min="16" max="16" width="11.44140625" style="3" customWidth="1"/>
    <col min="17" max="17" width="13.109375" style="3" customWidth="1"/>
    <col min="18" max="19" width="9.109375" style="3" bestFit="1" customWidth="1"/>
    <col min="20" max="21" width="9" style="3" customWidth="1"/>
    <col min="22" max="16384" width="9" style="3"/>
  </cols>
  <sheetData>
    <row r="1" spans="1:19" ht="27.6" customHeight="1" x14ac:dyDescent="0.25">
      <c r="A1" s="2" t="s">
        <v>100</v>
      </c>
      <c r="B1" s="2" t="s">
        <v>101</v>
      </c>
      <c r="C1" s="2" t="s">
        <v>102</v>
      </c>
      <c r="D1" s="2" t="s">
        <v>103</v>
      </c>
      <c r="E1" s="2" t="s">
        <v>4</v>
      </c>
      <c r="F1" s="2" t="s">
        <v>104</v>
      </c>
      <c r="G1" s="2" t="s">
        <v>105</v>
      </c>
      <c r="H1" s="2" t="s">
        <v>156</v>
      </c>
      <c r="I1" s="2" t="s">
        <v>107</v>
      </c>
      <c r="J1" s="3" t="s">
        <v>108</v>
      </c>
      <c r="K1" s="3" t="s">
        <v>109</v>
      </c>
      <c r="L1" s="3" t="s">
        <v>110</v>
      </c>
      <c r="O1" s="12" t="s">
        <v>111</v>
      </c>
      <c r="P1" s="12" t="s">
        <v>112</v>
      </c>
      <c r="Q1" s="12" t="s">
        <v>113</v>
      </c>
      <c r="R1" s="12" t="s">
        <v>114</v>
      </c>
      <c r="S1" s="12" t="s">
        <v>115</v>
      </c>
    </row>
    <row r="2" spans="1:19" x14ac:dyDescent="0.25">
      <c r="A2" s="3" t="s">
        <v>14</v>
      </c>
      <c r="B2" s="3" t="s">
        <v>157</v>
      </c>
      <c r="C2" s="3">
        <v>2</v>
      </c>
      <c r="D2" s="3">
        <v>20250314</v>
      </c>
      <c r="E2" s="3">
        <v>20260414</v>
      </c>
      <c r="F2" s="3" t="s">
        <v>158</v>
      </c>
      <c r="G2" s="3">
        <v>388267</v>
      </c>
      <c r="H2" s="3">
        <v>4533530</v>
      </c>
      <c r="I2" s="3">
        <v>25832</v>
      </c>
      <c r="J2" s="3">
        <v>357535</v>
      </c>
      <c r="K2" s="3">
        <v>6.16</v>
      </c>
      <c r="O2" s="12">
        <f>COUNTA(A2:A30)</f>
        <v>19</v>
      </c>
      <c r="P2" s="12">
        <f>SUM(G2:G31)</f>
        <v>4802552</v>
      </c>
      <c r="Q2" s="12">
        <f>SUM(H2:H31)</f>
        <v>72011604</v>
      </c>
      <c r="R2" s="12">
        <f>SUM(J2:J31)</f>
        <v>4331859</v>
      </c>
      <c r="S2" s="12">
        <f>SUM(K2:K30)</f>
        <v>86.720000000000013</v>
      </c>
    </row>
    <row r="3" spans="1:19" x14ac:dyDescent="0.25">
      <c r="A3" s="3" t="s">
        <v>19</v>
      </c>
      <c r="B3" s="7" t="s">
        <v>145</v>
      </c>
      <c r="C3" s="3">
        <v>2.1</v>
      </c>
      <c r="D3" s="3">
        <v>20251120</v>
      </c>
      <c r="E3" s="3">
        <v>20260416</v>
      </c>
      <c r="F3" s="3" t="s">
        <v>124</v>
      </c>
      <c r="G3" s="3">
        <v>477126</v>
      </c>
      <c r="H3" s="3">
        <v>6708987</v>
      </c>
      <c r="I3" s="3">
        <v>31256</v>
      </c>
      <c r="J3" s="3">
        <v>454262</v>
      </c>
      <c r="K3" s="3">
        <v>11.1</v>
      </c>
    </row>
    <row r="4" spans="1:19" ht="27.6" customHeight="1" x14ac:dyDescent="0.25">
      <c r="A4" s="3" t="s">
        <v>22</v>
      </c>
      <c r="B4" s="3" t="s">
        <v>118</v>
      </c>
      <c r="C4" s="3">
        <v>2.2000000000000002</v>
      </c>
      <c r="D4" s="3">
        <v>20250903</v>
      </c>
      <c r="E4" s="3">
        <v>20260414</v>
      </c>
      <c r="F4" s="3" t="s">
        <v>126</v>
      </c>
      <c r="G4" s="3">
        <v>165992</v>
      </c>
      <c r="H4" s="3">
        <v>3236008</v>
      </c>
      <c r="I4" s="3" t="s">
        <v>121</v>
      </c>
      <c r="J4" s="3">
        <v>146861</v>
      </c>
      <c r="K4" s="3">
        <v>1.01</v>
      </c>
    </row>
    <row r="5" spans="1:19" ht="27.6" customHeight="1" x14ac:dyDescent="0.25">
      <c r="A5" s="3" t="s">
        <v>25</v>
      </c>
      <c r="B5" s="3" t="s">
        <v>159</v>
      </c>
      <c r="C5" s="3">
        <v>2</v>
      </c>
      <c r="D5" s="3">
        <v>2013</v>
      </c>
      <c r="E5" s="3">
        <v>20260422</v>
      </c>
      <c r="F5" s="3" t="s">
        <v>124</v>
      </c>
      <c r="G5" s="3">
        <v>37885</v>
      </c>
      <c r="H5" s="3">
        <v>4191945</v>
      </c>
      <c r="I5" s="3">
        <v>32188</v>
      </c>
      <c r="J5" s="3">
        <v>37710</v>
      </c>
      <c r="K5" s="3">
        <v>3.7</v>
      </c>
      <c r="L5" s="3" t="s">
        <v>160</v>
      </c>
    </row>
    <row r="6" spans="1:19" ht="27.6" customHeight="1" x14ac:dyDescent="0.25">
      <c r="A6" s="3" t="s">
        <v>29</v>
      </c>
      <c r="B6" s="7" t="s">
        <v>161</v>
      </c>
      <c r="C6" s="3">
        <v>2</v>
      </c>
      <c r="D6" s="3">
        <v>2019</v>
      </c>
      <c r="E6" s="3">
        <v>20260414</v>
      </c>
      <c r="F6" s="3" t="s">
        <v>124</v>
      </c>
      <c r="G6" s="3">
        <v>50600</v>
      </c>
      <c r="H6" s="3">
        <v>5722729</v>
      </c>
      <c r="I6" s="3">
        <v>2056</v>
      </c>
      <c r="J6" s="3">
        <v>41447</v>
      </c>
      <c r="K6" s="3">
        <v>7.41</v>
      </c>
    </row>
    <row r="7" spans="1:19" ht="27.6" customHeight="1" x14ac:dyDescent="0.25">
      <c r="A7" s="3" t="s">
        <v>32</v>
      </c>
      <c r="B7" s="7" t="s">
        <v>162</v>
      </c>
      <c r="C7" s="3">
        <v>2.2000000000000002</v>
      </c>
      <c r="D7" s="3">
        <v>2023</v>
      </c>
      <c r="E7" s="3">
        <v>20260423</v>
      </c>
      <c r="F7" s="3" t="s">
        <v>124</v>
      </c>
      <c r="G7" s="3">
        <v>23275</v>
      </c>
      <c r="H7" s="3">
        <v>764173</v>
      </c>
      <c r="I7" s="3">
        <v>2169</v>
      </c>
      <c r="J7" s="3">
        <v>20845</v>
      </c>
      <c r="K7" s="3">
        <v>1.03</v>
      </c>
    </row>
    <row r="8" spans="1:19" ht="69" customHeight="1" x14ac:dyDescent="0.25">
      <c r="A8" s="3" t="s">
        <v>34</v>
      </c>
      <c r="B8" s="3" t="s">
        <v>163</v>
      </c>
      <c r="C8" s="3">
        <v>2</v>
      </c>
      <c r="D8" s="3">
        <v>20241205</v>
      </c>
      <c r="E8" s="3">
        <v>20260423</v>
      </c>
      <c r="F8" s="3" t="s">
        <v>124</v>
      </c>
      <c r="G8" s="3">
        <v>135775</v>
      </c>
      <c r="H8" s="3">
        <v>1946735</v>
      </c>
      <c r="I8" s="3">
        <v>25832</v>
      </c>
      <c r="J8" s="3">
        <v>124696</v>
      </c>
      <c r="K8" s="3">
        <v>2.21</v>
      </c>
    </row>
    <row r="9" spans="1:19" x14ac:dyDescent="0.25">
      <c r="A9" s="3" t="s">
        <v>36</v>
      </c>
      <c r="B9" s="7" t="s">
        <v>164</v>
      </c>
      <c r="C9" s="3">
        <v>2</v>
      </c>
      <c r="D9" s="3">
        <v>2018</v>
      </c>
      <c r="E9" s="3">
        <v>20260424</v>
      </c>
      <c r="F9" s="3" t="s">
        <v>124</v>
      </c>
      <c r="G9" s="3">
        <v>68529</v>
      </c>
      <c r="H9" s="3">
        <v>645775</v>
      </c>
      <c r="I9" s="1">
        <v>31255</v>
      </c>
      <c r="J9" s="3">
        <v>56131</v>
      </c>
      <c r="K9" s="3">
        <v>0.78</v>
      </c>
    </row>
    <row r="10" spans="1:19" ht="110.4" customHeight="1" x14ac:dyDescent="0.25">
      <c r="A10" s="8" t="s">
        <v>38</v>
      </c>
      <c r="B10" s="7" t="s">
        <v>165</v>
      </c>
      <c r="C10" s="6">
        <v>2.2000000000000002</v>
      </c>
      <c r="D10" s="6">
        <v>2018</v>
      </c>
      <c r="E10" s="6">
        <v>20260424</v>
      </c>
      <c r="F10" s="6" t="s">
        <v>124</v>
      </c>
      <c r="G10" s="6">
        <v>63153</v>
      </c>
      <c r="H10" s="6">
        <v>1003820</v>
      </c>
      <c r="I10" s="9">
        <v>31370</v>
      </c>
      <c r="J10" s="6">
        <v>57241</v>
      </c>
      <c r="K10" s="6">
        <v>1.08</v>
      </c>
      <c r="L10" s="3" t="s">
        <v>166</v>
      </c>
    </row>
    <row r="11" spans="1:19" x14ac:dyDescent="0.25">
      <c r="A11" s="3" t="s">
        <v>41</v>
      </c>
      <c r="B11" s="7" t="s">
        <v>167</v>
      </c>
      <c r="C11" s="3">
        <v>2</v>
      </c>
      <c r="D11" s="3">
        <v>2020</v>
      </c>
      <c r="E11" s="3">
        <v>20260424</v>
      </c>
      <c r="F11" s="3" t="s">
        <v>124</v>
      </c>
      <c r="G11" s="3">
        <v>366007</v>
      </c>
      <c r="H11" s="3">
        <v>3272518</v>
      </c>
      <c r="I11" s="3">
        <v>5514</v>
      </c>
      <c r="J11" s="3">
        <v>336252</v>
      </c>
      <c r="K11" s="3">
        <v>4.72</v>
      </c>
    </row>
    <row r="12" spans="1:19" x14ac:dyDescent="0.25">
      <c r="A12" s="1" t="s">
        <v>44</v>
      </c>
      <c r="B12" s="3" t="s">
        <v>123</v>
      </c>
      <c r="C12" s="3">
        <v>2</v>
      </c>
      <c r="D12" s="3">
        <v>20251217</v>
      </c>
      <c r="E12" s="3">
        <v>20260424</v>
      </c>
      <c r="F12" s="3" t="s">
        <v>124</v>
      </c>
      <c r="G12" s="3">
        <v>163576</v>
      </c>
      <c r="H12" s="3">
        <v>1779003</v>
      </c>
      <c r="I12" s="3">
        <v>25833</v>
      </c>
      <c r="J12" s="3">
        <v>145063</v>
      </c>
      <c r="K12" s="3">
        <v>3.69</v>
      </c>
    </row>
    <row r="13" spans="1:19" ht="27.6" customHeight="1" x14ac:dyDescent="0.25">
      <c r="A13" s="3" t="s">
        <v>51</v>
      </c>
      <c r="B13" s="7" t="s">
        <v>168</v>
      </c>
      <c r="C13" s="3">
        <v>2</v>
      </c>
      <c r="D13" s="3">
        <v>20240422</v>
      </c>
      <c r="E13" s="3">
        <v>20260425</v>
      </c>
      <c r="F13" s="3" t="s">
        <v>158</v>
      </c>
      <c r="G13" s="3">
        <v>874612</v>
      </c>
      <c r="H13" s="3">
        <v>10061258</v>
      </c>
      <c r="I13" s="3">
        <v>25833</v>
      </c>
      <c r="J13" s="3">
        <v>796145</v>
      </c>
      <c r="K13" s="3">
        <v>14.3</v>
      </c>
      <c r="L13" s="3" t="s">
        <v>169</v>
      </c>
    </row>
    <row r="14" spans="1:19" ht="27.6" customHeight="1" x14ac:dyDescent="0.25">
      <c r="A14" s="11" t="s">
        <v>46</v>
      </c>
      <c r="B14" s="11" t="s">
        <v>170</v>
      </c>
      <c r="C14" s="11">
        <v>2</v>
      </c>
      <c r="D14" s="11">
        <v>2016</v>
      </c>
      <c r="E14" s="11">
        <v>20260425</v>
      </c>
      <c r="F14" s="11" t="s">
        <v>124</v>
      </c>
      <c r="G14" s="11">
        <v>1083432</v>
      </c>
      <c r="H14" s="11">
        <v>12962503</v>
      </c>
      <c r="I14" s="11">
        <v>2263</v>
      </c>
      <c r="J14" s="11">
        <v>1066657</v>
      </c>
      <c r="K14" s="11">
        <v>12.8</v>
      </c>
      <c r="L14" s="3" t="s">
        <v>171</v>
      </c>
    </row>
    <row r="15" spans="1:19" s="11" customFormat="1" ht="27.6" customHeight="1" x14ac:dyDescent="0.25">
      <c r="A15" s="3" t="s">
        <v>49</v>
      </c>
      <c r="B15" s="3" t="s">
        <v>118</v>
      </c>
      <c r="C15" s="3">
        <v>2.2000000000000002</v>
      </c>
      <c r="D15" s="3">
        <v>20250903</v>
      </c>
      <c r="E15" s="3">
        <v>20260425</v>
      </c>
      <c r="F15" s="3" t="s">
        <v>126</v>
      </c>
      <c r="G15" s="3">
        <v>189649</v>
      </c>
      <c r="H15" s="3">
        <v>2910029</v>
      </c>
      <c r="I15" s="3" t="s">
        <v>121</v>
      </c>
      <c r="J15" s="3">
        <v>154002</v>
      </c>
      <c r="K15" s="3">
        <v>1.04</v>
      </c>
    </row>
    <row r="16" spans="1:19" ht="27.6" customHeight="1" x14ac:dyDescent="0.25">
      <c r="A16" s="8" t="s">
        <v>74</v>
      </c>
      <c r="B16" s="6" t="s">
        <v>172</v>
      </c>
      <c r="C16" s="6">
        <v>2</v>
      </c>
      <c r="D16" s="6">
        <v>20260425</v>
      </c>
      <c r="E16" s="6">
        <v>20260429</v>
      </c>
      <c r="F16" s="6" t="s">
        <v>124</v>
      </c>
      <c r="G16" s="6">
        <v>49790</v>
      </c>
      <c r="H16" s="6">
        <v>1015749</v>
      </c>
      <c r="I16" s="6">
        <v>3301</v>
      </c>
      <c r="J16" s="6">
        <v>42010</v>
      </c>
      <c r="K16" s="6">
        <v>0.55000000000000004</v>
      </c>
      <c r="L16" s="3" t="s">
        <v>173</v>
      </c>
    </row>
    <row r="17" spans="1:11" x14ac:dyDescent="0.25">
      <c r="A17" s="3" t="s">
        <v>81</v>
      </c>
      <c r="B17" s="3" t="s">
        <v>174</v>
      </c>
      <c r="C17" s="3">
        <v>2</v>
      </c>
      <c r="E17" s="3">
        <v>20260430</v>
      </c>
      <c r="F17" s="3" t="s">
        <v>124</v>
      </c>
      <c r="G17" s="3">
        <v>373913</v>
      </c>
      <c r="H17" s="3">
        <v>4451336</v>
      </c>
      <c r="I17" s="3">
        <v>25832</v>
      </c>
      <c r="J17" s="3">
        <v>297022</v>
      </c>
      <c r="K17" s="3">
        <v>5.97</v>
      </c>
    </row>
    <row r="18" spans="1:11" x14ac:dyDescent="0.25">
      <c r="A18" s="1" t="s">
        <v>83</v>
      </c>
      <c r="B18" s="3" t="s">
        <v>174</v>
      </c>
      <c r="C18" s="3">
        <v>2</v>
      </c>
      <c r="E18" s="3">
        <v>20260430</v>
      </c>
      <c r="F18" s="3" t="s">
        <v>124</v>
      </c>
      <c r="G18" s="3">
        <v>219925</v>
      </c>
      <c r="H18" s="3">
        <v>2445823</v>
      </c>
      <c r="I18" s="3">
        <v>25832</v>
      </c>
      <c r="J18" s="3">
        <v>156462</v>
      </c>
      <c r="K18" s="3">
        <v>3.29</v>
      </c>
    </row>
    <row r="19" spans="1:11" ht="27.6" customHeight="1" x14ac:dyDescent="0.25">
      <c r="A19" s="3" t="s">
        <v>88</v>
      </c>
      <c r="B19" s="3" t="s">
        <v>161</v>
      </c>
      <c r="C19" s="3">
        <v>2</v>
      </c>
      <c r="D19" s="3" t="s">
        <v>175</v>
      </c>
      <c r="E19" s="3">
        <v>20260506</v>
      </c>
      <c r="F19" s="3" t="s">
        <v>124</v>
      </c>
      <c r="G19" s="3">
        <v>46569</v>
      </c>
      <c r="H19" s="3">
        <v>3644522</v>
      </c>
      <c r="I19" s="3">
        <v>2056</v>
      </c>
      <c r="J19" s="3">
        <v>18644</v>
      </c>
      <c r="K19" s="3">
        <v>4.68</v>
      </c>
    </row>
    <row r="20" spans="1:11" ht="27.6" customHeight="1" x14ac:dyDescent="0.25">
      <c r="A20" s="3" t="s">
        <v>93</v>
      </c>
      <c r="B20" s="3" t="s">
        <v>176</v>
      </c>
      <c r="C20" s="3">
        <v>2</v>
      </c>
      <c r="D20" s="3">
        <v>2018</v>
      </c>
      <c r="E20" s="3">
        <v>20260508</v>
      </c>
      <c r="F20" s="3" t="s">
        <v>124</v>
      </c>
      <c r="G20" s="3">
        <v>24477</v>
      </c>
      <c r="H20" s="3">
        <v>715161</v>
      </c>
      <c r="I20" s="3">
        <v>3946</v>
      </c>
      <c r="J20" s="3">
        <v>22874</v>
      </c>
      <c r="K20" s="3">
        <v>1.2</v>
      </c>
    </row>
  </sheetData>
  <phoneticPr fontId="1" type="noConversion"/>
  <hyperlinks>
    <hyperlink ref="B3" r:id="rId1" xr:uid="{00000000-0004-0000-0200-000000000000}"/>
    <hyperlink ref="B6" r:id="rId2" location="swissBUILDINGS3D-3.0-Beta---Download" xr:uid="{00000000-0004-0000-0200-000001000000}"/>
    <hyperlink ref="B7" r:id="rId3" xr:uid="{00000000-0004-0000-0200-000002000000}"/>
    <hyperlink ref="B9" r:id="rId4" xr:uid="{00000000-0004-0000-0200-000003000000}"/>
    <hyperlink ref="B10" r:id="rId5" display="https://data.namur.be/explore/dataset/namur-3d-batiments-textures-par-dalle-de-200m/table/?dataChart=eyJxdWVyaWVzIjpbeyJjb25maWciOnsiZGF0YXNldCI6Im5hbXVyLTNkLWJhdGltZW50cy10ZXh0dXJlcy1wYXItZGFsbGUtZGUtMjAwbSIsIm9wdGlvbnMiOnt9fSwiY2hhcnRzIjpbeyJhbGlnbk1vbnRoIjp0cnVlLCJ0eXBlIjoiY29sdW1uIiwiZnVuYyI6IkNPVU5UIiwic2NpZW50aWZpY0Rpc3BsYXkiOnRydWUsImNvbG9yIjoiIzAxMUY0OSJ9XSwieEF4aXMiOiJub20iLCJtYXhwb2ludHMiOjUwLCJzb3J0IjoiIn1dLCJ0aW1lc2NhbGUiOiIiLCJkaXNwbGF5TGVnZW5kIjp0cnVlLCJhbGlnbk1vbnRoIjp0cnVlfQ%3D%3D&amp;location=13,50.43269,4.86943&amp;basemap=jawg.streets" xr:uid="{00000000-0004-0000-0200-000004000000}"/>
    <hyperlink ref="B11" r:id="rId6" xr:uid="{00000000-0004-0000-0200-000005000000}"/>
    <hyperlink ref="B13" r:id="rId7" location="/metadata/3c7c49af-00a4-3bcd-bc00-20e7f0f1b7bf" xr:uid="{00000000-0004-0000-0200-000006000000}"/>
    <hyperlink ref="B16" r:id="rId8" xr:uid="{00000000-0004-0000-0200-000007000000}"/>
  </hyperlinks>
  <pageMargins left="0.7" right="0.7" top="0.75" bottom="0.75" header="0.3" footer="0.3"/>
  <pageSetup paperSize="9" orientation="portrait" horizontalDpi="300" verticalDpi="300" r:id="rId9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3</vt:i4>
      </vt:variant>
    </vt:vector>
  </HeadingPairs>
  <TitlesOfParts>
    <vt:vector size="3" baseType="lpstr">
      <vt:lpstr>Block</vt:lpstr>
      <vt:lpstr>LoD1</vt:lpstr>
      <vt:lpstr>LoD2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zbz</dc:creator>
  <cp:lastModifiedBy>zbz</cp:lastModifiedBy>
  <dcterms:created xsi:type="dcterms:W3CDTF">2025-12-30T08:09:45Z</dcterms:created>
  <dcterms:modified xsi:type="dcterms:W3CDTF">2026-05-16T06:44:50Z</dcterms:modified>
</cp:coreProperties>
</file>